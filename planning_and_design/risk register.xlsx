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eacuk-my.sharepoint.com/personal/erin4_williams_live_uwe_ac_uk/Documents/Desktop/year2_term2/joint asd.sys/"/>
    </mc:Choice>
  </mc:AlternateContent>
  <xr:revisionPtr revIDLastSave="480" documentId="13_ncr:1_{A057916B-F0CF-4E88-BB20-493C26CBF494}" xr6:coauthVersionLast="47" xr6:coauthVersionMax="47" xr10:uidLastSave="{F5E2B029-852E-4997-9737-3AC17ACC7746}"/>
  <bookViews>
    <workbookView minimized="1" xWindow="0" yWindow="0" windowWidth="7500" windowHeight="6000" activeTab="2" xr2:uid="{F60B009E-A1FD-4AC4-9E05-775162B0C451}"/>
  </bookViews>
  <sheets>
    <sheet name="Risk Register" sheetId="1" r:id="rId1"/>
    <sheet name="Scoring System" sheetId="2" r:id="rId2"/>
    <sheet name="Catagory Analysis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B11" i="3"/>
  <c r="C11" i="3"/>
  <c r="D11" i="3"/>
  <c r="B12" i="3"/>
  <c r="C12" i="3"/>
  <c r="D12" i="3"/>
  <c r="B13" i="3"/>
  <c r="C13" i="3"/>
  <c r="D13" i="3"/>
  <c r="B14" i="3"/>
  <c r="C14" i="3"/>
  <c r="D14" i="3"/>
  <c r="F14" i="3"/>
  <c r="F13" i="3"/>
  <c r="F12" i="3"/>
  <c r="F11" i="3"/>
  <c r="E14" i="3"/>
  <c r="E13" i="3"/>
  <c r="E12" i="3"/>
  <c r="E11" i="3"/>
  <c r="F3" i="3"/>
  <c r="E3" i="3"/>
  <c r="D3" i="3"/>
  <c r="C3" i="3"/>
  <c r="C4" i="3"/>
  <c r="B3" i="3"/>
  <c r="B4" i="3"/>
  <c r="F6" i="3"/>
  <c r="E6" i="3"/>
  <c r="D6" i="3"/>
  <c r="C6" i="3"/>
  <c r="F5" i="3"/>
  <c r="E5" i="3"/>
  <c r="D5" i="3"/>
  <c r="C5" i="3"/>
  <c r="B5" i="3"/>
  <c r="F4" i="3"/>
  <c r="E4" i="3"/>
  <c r="D4" i="3"/>
  <c r="B6" i="3"/>
  <c r="I3" i="1"/>
  <c r="J3" i="1" s="1"/>
  <c r="M3" i="1" s="1"/>
  <c r="I4" i="1"/>
  <c r="J4" i="1" s="1"/>
  <c r="M4" i="1" s="1"/>
  <c r="I5" i="1"/>
  <c r="J5" i="1" s="1"/>
  <c r="M5" i="1" s="1"/>
  <c r="I6" i="1"/>
  <c r="J6" i="1" s="1"/>
  <c r="M6" i="1" s="1"/>
  <c r="I7" i="1"/>
  <c r="J7" i="1" s="1"/>
  <c r="M7" i="1" s="1"/>
  <c r="I8" i="1"/>
  <c r="J8" i="1" s="1"/>
  <c r="M8" i="1" s="1"/>
  <c r="I9" i="1"/>
  <c r="J9" i="1" s="1"/>
  <c r="M9" i="1" s="1"/>
  <c r="I10" i="1"/>
  <c r="J10" i="1" s="1"/>
  <c r="M10" i="1" s="1"/>
  <c r="I11" i="1"/>
  <c r="J11" i="1" s="1"/>
  <c r="M11" i="1" s="1"/>
  <c r="I12" i="1"/>
  <c r="J12" i="1" s="1"/>
  <c r="M12" i="1" s="1"/>
  <c r="I13" i="1"/>
  <c r="J13" i="1" s="1"/>
  <c r="M13" i="1" s="1"/>
  <c r="I14" i="1"/>
  <c r="J14" i="1" s="1"/>
  <c r="M14" i="1" s="1"/>
  <c r="G14" i="3" l="1"/>
  <c r="H14" i="3" s="1"/>
  <c r="G12" i="3"/>
  <c r="H12" i="3" s="1"/>
  <c r="G5" i="3"/>
  <c r="H5" i="3" s="1"/>
  <c r="G11" i="3"/>
  <c r="H11" i="3" s="1"/>
  <c r="G13" i="3"/>
  <c r="H13" i="3" s="1"/>
  <c r="G6" i="3"/>
  <c r="H6" i="3" s="1"/>
  <c r="G4" i="3"/>
  <c r="H4" i="3" s="1"/>
  <c r="G3" i="3"/>
  <c r="H3" i="3" s="1"/>
  <c r="B19" i="3" l="1"/>
  <c r="B21" i="3"/>
  <c r="B18" i="3"/>
  <c r="B20" i="3"/>
  <c r="C20" i="3" s="1"/>
  <c r="C21" i="3" l="1"/>
  <c r="C19" i="3"/>
</calcChain>
</file>

<file path=xl/sharedStrings.xml><?xml version="1.0" encoding="utf-8"?>
<sst xmlns="http://schemas.openxmlformats.org/spreadsheetml/2006/main" count="179" uniqueCount="148">
  <si>
    <t>ID</t>
  </si>
  <si>
    <t>Risk Description</t>
  </si>
  <si>
    <t>Root Cause</t>
  </si>
  <si>
    <t>Triggers</t>
  </si>
  <si>
    <t>Consequences</t>
  </si>
  <si>
    <t>Weight</t>
  </si>
  <si>
    <t>Overall Rating</t>
  </si>
  <si>
    <t>Weighted Score</t>
  </si>
  <si>
    <t>Mitigation</t>
  </si>
  <si>
    <t>Priority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</si>
  <si>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</si>
  <si>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</si>
  <si>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</si>
  <si>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</si>
  <si>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</si>
  <si>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</si>
  <si>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</si>
  <si>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</si>
  <si>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</si>
  <si>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</si>
  <si>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</si>
  <si>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</si>
  <si>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Schedule delays</t>
  </si>
  <si>
    <t>Bugs and errors in the system</t>
  </si>
  <si>
    <t>Unclear requirements</t>
  </si>
  <si>
    <t>Poor communication</t>
  </si>
  <si>
    <t>Accidental deletion or corruption of files</t>
  </si>
  <si>
    <t>University case study updates affecting project requirements</t>
  </si>
  <si>
    <t>Team member unable to complete task in time eg illness</t>
  </si>
  <si>
    <t>Data breaches (SQL injection attacks, unauthorised action etc)</t>
  </si>
  <si>
    <t>Frequency</t>
  </si>
  <si>
    <t>Severity</t>
  </si>
  <si>
    <t>Catagory</t>
  </si>
  <si>
    <t>Technical</t>
  </si>
  <si>
    <t>Project Management</t>
  </si>
  <si>
    <t>Operational</t>
  </si>
  <si>
    <t>Legal</t>
  </si>
  <si>
    <t xml:space="preserve">Responsible </t>
  </si>
  <si>
    <t xml:space="preserve">Tester </t>
  </si>
  <si>
    <t>Whole Team</t>
  </si>
  <si>
    <t xml:space="preserve">Whole Team </t>
  </si>
  <si>
    <t xml:space="preserve">Developer </t>
  </si>
  <si>
    <t>Project Lead</t>
  </si>
  <si>
    <t xml:space="preserve">Project Lead </t>
  </si>
  <si>
    <t>Number Value</t>
  </si>
  <si>
    <t xml:space="preserve">Frequency </t>
  </si>
  <si>
    <t>Insignificant</t>
  </si>
  <si>
    <t>Minor</t>
  </si>
  <si>
    <t>Moderate</t>
  </si>
  <si>
    <t>Major</t>
  </si>
  <si>
    <t>Severe</t>
  </si>
  <si>
    <t>Rare</t>
  </si>
  <si>
    <t>Unlikely</t>
  </si>
  <si>
    <t>Possible</t>
  </si>
  <si>
    <t>Likely</t>
  </si>
  <si>
    <t>Very Likely</t>
  </si>
  <si>
    <t>Weighted Importance</t>
  </si>
  <si>
    <t>Low</t>
  </si>
  <si>
    <t>High</t>
  </si>
  <si>
    <t>Critical</t>
  </si>
  <si>
    <t>Complext codebase with several components</t>
  </si>
  <si>
    <t>Underestimated task durations</t>
  </si>
  <si>
    <t>Tasks being uncompleted by deadline</t>
  </si>
  <si>
    <t xml:space="preserve">Insufficient understanding/research of data protection laws </t>
  </si>
  <si>
    <t>System incompatability across operating systems</t>
  </si>
  <si>
    <t>System not designed, built or tested across multiple operating systems</t>
  </si>
  <si>
    <t>System fails to run/ displays errors on a different OS</t>
  </si>
  <si>
    <t xml:space="preserve">Ambitious case study with complex requirments and multiple components to track </t>
  </si>
  <si>
    <t>Features failing shown by error messages during training</t>
  </si>
  <si>
    <t>No structured communication</t>
  </si>
  <si>
    <t xml:space="preserve">Missed meetings/unanswered messages </t>
  </si>
  <si>
    <t>Set fixed weekly meetings and make use of shared channel (discord etc)</t>
  </si>
  <si>
    <t xml:space="preserve">Components developed independently </t>
  </si>
  <si>
    <t>Integrate frequently, utalise github branching as well as communicating structure of modules with team</t>
  </si>
  <si>
    <t xml:space="preserve">No automatic backups </t>
  </si>
  <si>
    <t xml:space="preserve">Accidental deletion or system crash </t>
  </si>
  <si>
    <t>Enable regular backups and version control</t>
  </si>
  <si>
    <t>Stakeholders' redefining requirments mid project</t>
  </si>
  <si>
    <t xml:space="preserve">New documents or instructions released </t>
  </si>
  <si>
    <t xml:space="preserve">Monitor announcments closely </t>
  </si>
  <si>
    <t>Response</t>
  </si>
  <si>
    <t>Reassess completed work and adjust timeline for planning</t>
  </si>
  <si>
    <t>Lack of contingency planning and sickness management</t>
  </si>
  <si>
    <t>Member of team unavailable for period of time</t>
  </si>
  <si>
    <t xml:space="preserve">Have team members ready and willing to cover redistribution of tasks equally </t>
  </si>
  <si>
    <t>Reasign tasks and temporarily adjust ghant chart</t>
  </si>
  <si>
    <t>Weak access control,  lack of data loss prevention and insufficient security awareness</t>
  </si>
  <si>
    <t>Suspicious login attempts and access errors</t>
  </si>
  <si>
    <t>Strong technical security controls within python code and SQL database eg paramatizes queries, secure database permissions etc</t>
  </si>
  <si>
    <t>Revoke access and investigate breach to restore a secure system version</t>
  </si>
  <si>
    <t>Delays in timeline with a temporary reduction in system reliability and increased work/tasks</t>
  </si>
  <si>
    <t>Conduct regular testing for unexpected behaviour</t>
  </si>
  <si>
    <t>Debug system and test new stable version</t>
  </si>
  <si>
    <t>Missed milestones and rushed work</t>
  </si>
  <si>
    <t xml:space="preserve">Regular progress checks </t>
  </si>
  <si>
    <t>Reallocate tasks and adjust Gahntt chart</t>
  </si>
  <si>
    <t>Missing consent and unclear data sources</t>
  </si>
  <si>
    <t xml:space="preserve">Legal breaches, project failure and reputational damage </t>
  </si>
  <si>
    <t>Use annonymus data in testing, team awareness of GDPR guildlines and restriction to sensitive data</t>
  </si>
  <si>
    <t>Failure to follow GDPR requirments</t>
  </si>
  <si>
    <t>Immediate removal of any non-complient data, update data handling procedures and team training</t>
  </si>
  <si>
    <t>Project expanding passed agreed requirments with extra features/increased functionality</t>
  </si>
  <si>
    <t>Lack of clearly defined scope boundaries, team enthusiasm leading to unnecessary additions</t>
  </si>
  <si>
    <t>Work being completed not listed in the plan</t>
  </si>
  <si>
    <t>Increased workload, delays and missed deadlines</t>
  </si>
  <si>
    <t xml:space="preserve">Regular comparissons of work to agreed scope as well as a functional proccess for approving changes </t>
  </si>
  <si>
    <t>Stop work on unapproved features, re-prioratise tasks to return to agreed scope</t>
  </si>
  <si>
    <t>Support issues for users unable to access the system</t>
  </si>
  <si>
    <t>Cross platform testing and avoid OS-specific dependancies</t>
  </si>
  <si>
    <t xml:space="preserve">Fix OS-specific issues immedietly </t>
  </si>
  <si>
    <t>Repeated clarification questions and confusion within the team</t>
  </si>
  <si>
    <t>Incorrect features and delays</t>
  </si>
  <si>
    <t>Requirment clarification meetings</t>
  </si>
  <si>
    <t>Re-evaluate tasks and update requirment list</t>
  </si>
  <si>
    <t>Misaligned work and possible duplicated components</t>
  </si>
  <si>
    <t xml:space="preserve">Reinforce communication schedule </t>
  </si>
  <si>
    <t>Integration issues with modules</t>
  </si>
  <si>
    <t>Merge conflicts and incompatibility with components</t>
  </si>
  <si>
    <t>System instability and delays</t>
  </si>
  <si>
    <t>Reasses code and implement immediate integration testing</t>
  </si>
  <si>
    <t>Loss of progress and delays in schedule</t>
  </si>
  <si>
    <t>Restore from backup and review/improve handling process</t>
  </si>
  <si>
    <t>Timeline disruption and requirment confusion</t>
  </si>
  <si>
    <t>Increased workload on remaining team members, missed deadlines</t>
  </si>
  <si>
    <t>Severe legal issues and reputational damage</t>
  </si>
  <si>
    <t>Category</t>
  </si>
  <si>
    <t>F1</t>
  </si>
  <si>
    <t>F2</t>
  </si>
  <si>
    <t>F3</t>
  </si>
  <si>
    <t>F4</t>
  </si>
  <si>
    <t>F5</t>
  </si>
  <si>
    <t>Total Risks</t>
  </si>
  <si>
    <t>S1</t>
  </si>
  <si>
    <t>S2</t>
  </si>
  <si>
    <t>S3</t>
  </si>
  <si>
    <t>S4</t>
  </si>
  <si>
    <t>S5</t>
  </si>
  <si>
    <t xml:space="preserve">Technical </t>
  </si>
  <si>
    <t>Severity Weighted Avg</t>
  </si>
  <si>
    <t>Final Rating</t>
  </si>
  <si>
    <t>Rank (1 = Most Critical)</t>
  </si>
  <si>
    <t>Frequency Weighted Avg</t>
  </si>
  <si>
    <t>Table 1: Full Risk Register</t>
  </si>
  <si>
    <t>Table 2: Scoring</t>
  </si>
  <si>
    <t>Table 3: Weighted Importance</t>
  </si>
  <si>
    <t>Table 4: Category Frequency Counts</t>
  </si>
  <si>
    <t>Table 5: Severity Counts</t>
  </si>
  <si>
    <t>Table 6: Final Category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</si>
</sst>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ptos Display"/>
      <family val="2"/>
    </font>
    <font>
      <sz val="1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0" borderId="3" xfId="0" applyBorder="1"/>
    <xf numFmtId="0" fontId="0" fillId="0" borderId="4" xfId="0" applyBorder="1"/>
    <xf numFmtId="0" fontId="0" fillId="3" borderId="4" xfId="0" applyFill="1" applyBorder="1" applyAlignment="1">
      <alignment wrapText="1"/>
    </xf>
    <xf numFmtId="0" fontId="0" fillId="0" borderId="5" xfId="0" applyBorder="1"/>
    <xf numFmtId="0" fontId="0" fillId="3" borderId="0" xfId="0" applyFill="1"/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quotePrefix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29">
    <dxf>
      <font>
        <strike val="0"/>
        <outline val="0"/>
        <shadow val="0"/>
        <u val="none"/>
        <vertAlign val="baseline"/>
        <sz val="10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0" formatCode="General"/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alignment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153E9A-7BF0-44C0-AEEC-5D30A56244A1}" name="Table1" displayName="Table1" ref="A2:O14" totalsRowShown="0" dataDxfId="15">
  <autoFilter ref="A2:O14" xr:uid="{EF153E9A-7BF0-44C0-AEEC-5D30A56244A1}"/>
  <tableColumns count="15">
    <tableColumn id="1" xr3:uid="{92C0CCCA-4779-4282-ACE6-8D99CB4004E3}" name="ID" dataDxfId="14"/>
    <tableColumn id="2" xr3:uid="{EF1FBBC9-BE9F-4424-AC75-EED3F8FDB58D}" name="Risk Description" dataDxfId="13"/>
    <tableColumn id="3" xr3:uid="{8DCC3276-04E2-44C9-AF40-07053CAAB59B}" name="Root Cause" dataDxfId="12"/>
    <tableColumn id="4" xr3:uid="{9C26149F-AA96-44DB-8F17-90A1EB1B0464}" name="Triggers" dataDxfId="11"/>
    <tableColumn id="5" xr3:uid="{0AE6BB95-C7C4-4820-B860-E85A83BE2CDA}" name="Consequences" dataDxfId="10"/>
    <tableColumn id="6" xr3:uid="{6BF51DE6-4085-4391-8143-5F9AAD9B0983}" name="Frequency" dataDxfId="9"/>
    <tableColumn id="7" xr3:uid="{8355E883-3610-4CD7-8E90-58D3B8BD0573}" name="Severity" dataDxfId="8"/>
    <tableColumn id="8" xr3:uid="{DC9E5FC1-1D2E-4F6C-8A54-4CD1AE09C5CE}" name="Weight" dataDxfId="7"/>
    <tableColumn id="9" xr3:uid="{25CCD2AC-FAA6-4705-9D4A-39C253D771DE}" name="Overall Rating" dataDxfId="6">
      <calculatedColumnFormula>F3 *G3</calculatedColumnFormula>
    </tableColumn>
    <tableColumn id="11" xr3:uid="{BA3109AA-50EF-48B0-ABD6-9C12E8A882C4}" name="Weighted Score" dataDxfId="5">
      <calculatedColumnFormula>H3 * I3</calculatedColumnFormula>
    </tableColumn>
    <tableColumn id="15" xr3:uid="{5FB14754-10BB-4F22-9D43-41AE10D9BAF8}" name="Catagory" dataDxfId="4"/>
    <tableColumn id="13" xr3:uid="{AE159075-8BBB-42C5-869B-D9538E794614}" name="Mitigation" dataDxfId="3"/>
    <tableColumn id="12" xr3:uid="{47237B4D-F4B4-4BAF-B76D-4DFD548C37FB}" name="Priority" dataDxfId="2">
      <calculatedColumnFormula>IF(J3&gt;=40,"High",IF(J3&gt;=25,"Medium","Low"))</calculatedColumnFormula>
    </tableColumn>
    <tableColumn id="14" xr3:uid="{074816C5-0E73-452C-9469-952A4E0A124F}" name="Response" dataDxfId="1"/>
    <tableColumn id="10" xr3:uid="{9E68D43F-AED6-46AA-8537-BC34DC2AD422}" name="Responsible 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8792B5-ACDC-47BA-AC56-16A417D71A9D}" name="Table2" displayName="Table2" ref="A2:C7" totalsRowShown="0">
  <autoFilter ref="A2:C7" xr:uid="{C48792B5-ACDC-47BA-AC56-16A417D71A9D}"/>
  <tableColumns count="3">
    <tableColumn id="1" xr3:uid="{D2EB2321-B525-45B8-B746-32A677E51519}" name="Number Value"/>
    <tableColumn id="2" xr3:uid="{EB010302-2FDA-42B3-9173-AB93E36F1365}" name="Severity"/>
    <tableColumn id="3" xr3:uid="{5EE3B375-BB60-4F28-B259-456D3C3071B2}" name="Frequency 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714888-4F92-43EC-B484-31220D3A7024}" name="Table3" displayName="Table3" ref="A10:B14" totalsRowShown="0">
  <autoFilter ref="A10:B14" xr:uid="{B0714888-4F92-43EC-B484-31220D3A7024}"/>
  <tableColumns count="2">
    <tableColumn id="1" xr3:uid="{0276606D-5065-4FBF-9D5F-4901125F260F}" name="Number Value"/>
    <tableColumn id="2" xr3:uid="{46CAF8FE-E691-40C3-88D8-4B967BA5169C}" name="Weighted Importanc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5B2499A-B465-4F4F-BDF8-FDF728CA09D4}" name="Table11" displayName="Table11" ref="A10:H14" totalsRowShown="0" headerRowDxfId="28" dataDxfId="27" tableBorderDxfId="26">
  <autoFilter ref="A10:H14" xr:uid="{A5B2499A-B465-4F4F-BDF8-FDF728CA09D4}"/>
  <tableColumns count="8">
    <tableColumn id="1" xr3:uid="{546B0E79-1272-401D-B553-9D43924D4A70}" name="Category" dataDxfId="25"/>
    <tableColumn id="2" xr3:uid="{551E0AB2-9E3A-4C69-A242-E5EE7DCB75A1}" name="S1" dataDxfId="24"/>
    <tableColumn id="3" xr3:uid="{608F5B12-69BD-403B-8254-3F7054CDE293}" name="S2" dataDxfId="23"/>
    <tableColumn id="4" xr3:uid="{C14B4305-AB63-4788-8377-5B57502A278F}" name="S3" dataDxfId="22"/>
    <tableColumn id="5" xr3:uid="{5676BFAD-24B5-4864-9856-F5C6C86620F7}" name="S4" dataDxfId="21">
      <calculatedColumnFormula>COUNTIFS('Risk Register'!$K:$K,$A3,'Risk Register'!$G:$G,4)</calculatedColumnFormula>
    </tableColumn>
    <tableColumn id="6" xr3:uid="{EB93E6E7-BEDE-438D-AB28-8B1B4AFA9E72}" name="S5" dataDxfId="20">
      <calculatedColumnFormula>COUNTIFS('Risk Register'!$K:$K,$A3,'Risk Register'!$G:$G,5)</calculatedColumnFormula>
    </tableColumn>
    <tableColumn id="7" xr3:uid="{BB348FF8-EE19-4052-9C40-C17B5D810A51}" name="Total Risks" dataDxfId="19">
      <calculatedColumnFormula>SUM(B11:F11)</calculatedColumnFormula>
    </tableColumn>
    <tableColumn id="9" xr3:uid="{48FAA4E4-F374-4844-820C-76C8DC073B1B}" name="Severity Weighted Avg" dataDxfId="18">
      <calculatedColumnFormula>SUMPRODUCT(B11:F11,{1,2,3,4,5})/G11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5DB6B79-B137-4823-AECE-0BFDBF9F2A72}" name="Table13" displayName="Table13" ref="A17:C21" totalsRowShown="0">
  <autoFilter ref="A17:C21" xr:uid="{25DB6B79-B137-4823-AECE-0BFDBF9F2A72}"/>
  <tableColumns count="3">
    <tableColumn id="1" xr3:uid="{7BB95885-F662-447B-B4BA-BC3E800F31D6}" name="Catagory"/>
    <tableColumn id="2" xr3:uid="{6C502A38-9BD3-4957-A2FA-9D4DC77FCEEE}" name="Final Rating" dataDxfId="17">
      <calculatedColumnFormula>H3*H11</calculatedColumnFormula>
    </tableColumn>
    <tableColumn id="3" xr3:uid="{A80B6BCF-FF64-4FD0-8899-4A6B1FF5B704}" name="Rank (1 = Most Critical)" dataDxfId="16">
      <calculatedColumnFormula>_xlfn.RANK.EQ(B18,$B$18:$B$21,0)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9F5F-2709-4C47-B716-FF4EFE56074B}">
  <dimension ref="A1:O14"/>
  <sheetViews>
    <sheetView zoomScale="67" workbookViewId="0">
      <selection sqref="A1:O1"/>
    </sheetView>
  </sheetViews>
  <sheetFormatPr defaultRowHeight="14.5" x14ac:dyDescent="0.35"/>
  <cols>
    <col min="1" max="1" width="10.453125" customWidth="1"/>
    <col min="2" max="2" width="48.26953125" customWidth="1"/>
    <col min="3" max="3" width="56" customWidth="1"/>
    <col min="4" max="4" width="40.54296875" customWidth="1"/>
    <col min="5" max="5" width="27.90625" customWidth="1"/>
    <col min="6" max="6" width="12.7265625" customWidth="1"/>
    <col min="7" max="8" width="10.453125" customWidth="1"/>
    <col min="9" max="11" width="19.26953125" customWidth="1"/>
    <col min="12" max="12" width="83.6328125" customWidth="1"/>
    <col min="13" max="13" width="19.26953125" customWidth="1"/>
    <col min="14" max="14" width="47.1796875" customWidth="1"/>
    <col min="15" max="15" width="13.6328125" customWidth="1"/>
    <col min="16" max="16" width="18.90625" customWidth="1"/>
  </cols>
  <sheetData>
    <row r="1" spans="1:15" x14ac:dyDescent="0.35">
      <c r="A1" s="23" t="s">
        <v>142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30</v>
      </c>
      <c r="G2" t="s">
        <v>31</v>
      </c>
      <c r="H2" t="s">
        <v>5</v>
      </c>
      <c r="I2" t="s">
        <v>6</v>
      </c>
      <c r="J2" t="s">
        <v>7</v>
      </c>
      <c r="K2" t="s">
        <v>32</v>
      </c>
      <c r="L2" t="s">
        <v>8</v>
      </c>
      <c r="M2" t="s">
        <v>9</v>
      </c>
      <c r="N2" t="s">
        <v>80</v>
      </c>
      <c r="O2" t="s">
        <v>37</v>
      </c>
    </row>
    <row r="3" spans="1:15" ht="39" x14ac:dyDescent="0.35">
      <c r="A3" s="19" t="s">
        <v>10</v>
      </c>
      <c r="B3" s="21" t="s">
        <v>23</v>
      </c>
      <c r="C3" s="19" t="s">
        <v>60</v>
      </c>
      <c r="D3" s="19" t="s">
        <v>68</v>
      </c>
      <c r="E3" s="19" t="s">
        <v>90</v>
      </c>
      <c r="F3" s="22">
        <v>4</v>
      </c>
      <c r="G3" s="22">
        <v>3</v>
      </c>
      <c r="H3" s="22">
        <v>3</v>
      </c>
      <c r="I3" s="22">
        <f t="shared" ref="I3:I14" si="0">F3 *G3</f>
        <v>12</v>
      </c>
      <c r="J3" s="22">
        <f t="shared" ref="J3:J14" si="1">H3 * I3</f>
        <v>36</v>
      </c>
      <c r="K3" s="19" t="s">
        <v>33</v>
      </c>
      <c r="L3" s="19" t="s">
        <v>91</v>
      </c>
      <c r="M3" s="19" t="str">
        <f t="shared" ref="M3:M14" si="2">IF(J3&gt;=40,"High",IF(J3&gt;=25,"Medium","Low"))</f>
        <v>Medium</v>
      </c>
      <c r="N3" s="19" t="s">
        <v>92</v>
      </c>
      <c r="O3" s="19" t="s">
        <v>38</v>
      </c>
    </row>
    <row r="4" spans="1:15" x14ac:dyDescent="0.35">
      <c r="A4" s="19" t="s">
        <v>11</v>
      </c>
      <c r="B4" s="21" t="s">
        <v>22</v>
      </c>
      <c r="C4" s="19" t="s">
        <v>61</v>
      </c>
      <c r="D4" s="19" t="s">
        <v>62</v>
      </c>
      <c r="E4" s="19" t="s">
        <v>93</v>
      </c>
      <c r="F4" s="22">
        <v>3</v>
      </c>
      <c r="G4" s="22">
        <v>4</v>
      </c>
      <c r="H4" s="22">
        <v>3</v>
      </c>
      <c r="I4" s="22">
        <f t="shared" si="0"/>
        <v>12</v>
      </c>
      <c r="J4" s="22">
        <f t="shared" si="1"/>
        <v>36</v>
      </c>
      <c r="K4" s="19" t="s">
        <v>34</v>
      </c>
      <c r="L4" s="19" t="s">
        <v>94</v>
      </c>
      <c r="M4" s="19" t="str">
        <f t="shared" si="2"/>
        <v>Medium</v>
      </c>
      <c r="N4" s="19" t="s">
        <v>95</v>
      </c>
      <c r="O4" s="19" t="s">
        <v>39</v>
      </c>
    </row>
    <row r="5" spans="1:15" ht="28" customHeight="1" x14ac:dyDescent="0.35">
      <c r="A5" s="19" t="s">
        <v>12</v>
      </c>
      <c r="B5" s="21" t="s">
        <v>99</v>
      </c>
      <c r="C5" s="19" t="s">
        <v>63</v>
      </c>
      <c r="D5" s="19" t="s">
        <v>96</v>
      </c>
      <c r="E5" s="19" t="s">
        <v>97</v>
      </c>
      <c r="F5" s="22">
        <v>2</v>
      </c>
      <c r="G5" s="22">
        <v>5</v>
      </c>
      <c r="H5" s="22">
        <v>4</v>
      </c>
      <c r="I5" s="22">
        <f t="shared" si="0"/>
        <v>10</v>
      </c>
      <c r="J5" s="22">
        <f t="shared" si="1"/>
        <v>40</v>
      </c>
      <c r="K5" s="19" t="s">
        <v>36</v>
      </c>
      <c r="L5" s="19" t="s">
        <v>98</v>
      </c>
      <c r="M5" s="19" t="str">
        <f t="shared" si="2"/>
        <v>High</v>
      </c>
      <c r="N5" s="19" t="s">
        <v>100</v>
      </c>
      <c r="O5" s="19" t="s">
        <v>39</v>
      </c>
    </row>
    <row r="6" spans="1:15" ht="26" x14ac:dyDescent="0.35">
      <c r="A6" s="19" t="s">
        <v>13</v>
      </c>
      <c r="B6" s="21" t="s">
        <v>101</v>
      </c>
      <c r="C6" s="19" t="s">
        <v>102</v>
      </c>
      <c r="D6" s="19" t="s">
        <v>103</v>
      </c>
      <c r="E6" s="19" t="s">
        <v>104</v>
      </c>
      <c r="F6" s="22">
        <v>3</v>
      </c>
      <c r="G6" s="22">
        <v>4</v>
      </c>
      <c r="H6" s="22">
        <v>3</v>
      </c>
      <c r="I6" s="22">
        <f t="shared" si="0"/>
        <v>12</v>
      </c>
      <c r="J6" s="22">
        <f t="shared" si="1"/>
        <v>36</v>
      </c>
      <c r="K6" s="19" t="s">
        <v>34</v>
      </c>
      <c r="L6" s="19" t="s">
        <v>105</v>
      </c>
      <c r="M6" s="19" t="str">
        <f t="shared" si="2"/>
        <v>Medium</v>
      </c>
      <c r="N6" s="19" t="s">
        <v>106</v>
      </c>
      <c r="O6" s="19" t="s">
        <v>43</v>
      </c>
    </row>
    <row r="7" spans="1:15" ht="26" x14ac:dyDescent="0.35">
      <c r="A7" s="19" t="s">
        <v>14</v>
      </c>
      <c r="B7" s="21" t="s">
        <v>64</v>
      </c>
      <c r="C7" s="19" t="s">
        <v>65</v>
      </c>
      <c r="D7" s="19" t="s">
        <v>66</v>
      </c>
      <c r="E7" s="19" t="s">
        <v>107</v>
      </c>
      <c r="F7" s="22">
        <v>3</v>
      </c>
      <c r="G7" s="22">
        <v>2</v>
      </c>
      <c r="H7" s="22">
        <v>2</v>
      </c>
      <c r="I7" s="22">
        <f t="shared" si="0"/>
        <v>6</v>
      </c>
      <c r="J7" s="22">
        <f t="shared" si="1"/>
        <v>12</v>
      </c>
      <c r="K7" s="19" t="s">
        <v>33</v>
      </c>
      <c r="L7" s="19" t="s">
        <v>108</v>
      </c>
      <c r="M7" s="19" t="str">
        <f t="shared" si="2"/>
        <v>Low</v>
      </c>
      <c r="N7" s="19" t="s">
        <v>109</v>
      </c>
      <c r="O7" s="19" t="s">
        <v>39</v>
      </c>
    </row>
    <row r="8" spans="1:15" ht="26" x14ac:dyDescent="0.35">
      <c r="A8" s="19" t="s">
        <v>15</v>
      </c>
      <c r="B8" s="21" t="s">
        <v>24</v>
      </c>
      <c r="C8" s="19" t="s">
        <v>67</v>
      </c>
      <c r="D8" s="19" t="s">
        <v>110</v>
      </c>
      <c r="E8" s="19" t="s">
        <v>111</v>
      </c>
      <c r="F8" s="22">
        <v>4</v>
      </c>
      <c r="G8" s="22">
        <v>4</v>
      </c>
      <c r="H8" s="22">
        <v>4</v>
      </c>
      <c r="I8" s="22">
        <f t="shared" si="0"/>
        <v>16</v>
      </c>
      <c r="J8" s="22">
        <f t="shared" si="1"/>
        <v>64</v>
      </c>
      <c r="K8" s="19" t="s">
        <v>34</v>
      </c>
      <c r="L8" s="19" t="s">
        <v>112</v>
      </c>
      <c r="M8" s="19" t="str">
        <f t="shared" si="2"/>
        <v>High</v>
      </c>
      <c r="N8" s="19" t="s">
        <v>113</v>
      </c>
      <c r="O8" s="19" t="s">
        <v>42</v>
      </c>
    </row>
    <row r="9" spans="1:15" ht="26" x14ac:dyDescent="0.35">
      <c r="A9" s="19" t="s">
        <v>16</v>
      </c>
      <c r="B9" s="21" t="s">
        <v>25</v>
      </c>
      <c r="C9" s="19" t="s">
        <v>69</v>
      </c>
      <c r="D9" s="19" t="s">
        <v>70</v>
      </c>
      <c r="E9" s="19" t="s">
        <v>114</v>
      </c>
      <c r="F9" s="22">
        <v>2</v>
      </c>
      <c r="G9" s="22">
        <v>4</v>
      </c>
      <c r="H9" s="22">
        <v>3</v>
      </c>
      <c r="I9" s="22">
        <f t="shared" si="0"/>
        <v>8</v>
      </c>
      <c r="J9" s="22">
        <f t="shared" si="1"/>
        <v>24</v>
      </c>
      <c r="K9" s="19" t="s">
        <v>35</v>
      </c>
      <c r="L9" s="19" t="s">
        <v>71</v>
      </c>
      <c r="M9" s="19" t="str">
        <f t="shared" si="2"/>
        <v>Low</v>
      </c>
      <c r="N9" s="19" t="s">
        <v>115</v>
      </c>
      <c r="O9" s="19" t="s">
        <v>40</v>
      </c>
    </row>
    <row r="10" spans="1:15" x14ac:dyDescent="0.35">
      <c r="A10" s="19" t="s">
        <v>17</v>
      </c>
      <c r="B10" s="21" t="s">
        <v>116</v>
      </c>
      <c r="C10" s="19" t="s">
        <v>72</v>
      </c>
      <c r="D10" s="19" t="s">
        <v>117</v>
      </c>
      <c r="E10" s="19" t="s">
        <v>118</v>
      </c>
      <c r="F10" s="22">
        <v>4</v>
      </c>
      <c r="G10" s="22">
        <v>3</v>
      </c>
      <c r="H10" s="22">
        <v>3</v>
      </c>
      <c r="I10" s="22">
        <f t="shared" si="0"/>
        <v>12</v>
      </c>
      <c r="J10" s="22">
        <f t="shared" si="1"/>
        <v>36</v>
      </c>
      <c r="K10" s="19" t="s">
        <v>33</v>
      </c>
      <c r="L10" s="19" t="s">
        <v>73</v>
      </c>
      <c r="M10" s="19" t="str">
        <f t="shared" si="2"/>
        <v>Medium</v>
      </c>
      <c r="N10" s="19" t="s">
        <v>119</v>
      </c>
      <c r="O10" s="19" t="s">
        <v>41</v>
      </c>
    </row>
    <row r="11" spans="1:15" ht="26" x14ac:dyDescent="0.35">
      <c r="A11" s="19" t="s">
        <v>18</v>
      </c>
      <c r="B11" s="19" t="s">
        <v>26</v>
      </c>
      <c r="C11" s="19" t="s">
        <v>74</v>
      </c>
      <c r="D11" s="19" t="s">
        <v>75</v>
      </c>
      <c r="E11" s="19" t="s">
        <v>120</v>
      </c>
      <c r="F11" s="22">
        <v>3</v>
      </c>
      <c r="G11" s="22">
        <v>4</v>
      </c>
      <c r="H11" s="22">
        <v>3</v>
      </c>
      <c r="I11" s="22">
        <f t="shared" si="0"/>
        <v>12</v>
      </c>
      <c r="J11" s="22">
        <f t="shared" si="1"/>
        <v>36</v>
      </c>
      <c r="K11" s="19" t="s">
        <v>33</v>
      </c>
      <c r="L11" s="19" t="s">
        <v>76</v>
      </c>
      <c r="M11" s="19" t="str">
        <f t="shared" si="2"/>
        <v>Medium</v>
      </c>
      <c r="N11" s="19" t="s">
        <v>121</v>
      </c>
      <c r="O11" s="19" t="s">
        <v>39</v>
      </c>
    </row>
    <row r="12" spans="1:15" ht="26" x14ac:dyDescent="0.35">
      <c r="A12" s="19" t="s">
        <v>19</v>
      </c>
      <c r="B12" s="21" t="s">
        <v>27</v>
      </c>
      <c r="C12" s="20" t="s">
        <v>77</v>
      </c>
      <c r="D12" s="19" t="s">
        <v>78</v>
      </c>
      <c r="E12" s="19" t="s">
        <v>122</v>
      </c>
      <c r="F12" s="22">
        <v>1</v>
      </c>
      <c r="G12" s="22">
        <v>5</v>
      </c>
      <c r="H12" s="22">
        <v>2</v>
      </c>
      <c r="I12" s="22">
        <f t="shared" si="0"/>
        <v>5</v>
      </c>
      <c r="J12" s="22">
        <f t="shared" si="1"/>
        <v>10</v>
      </c>
      <c r="K12" s="19" t="s">
        <v>34</v>
      </c>
      <c r="L12" s="19" t="s">
        <v>79</v>
      </c>
      <c r="M12" s="19" t="str">
        <f t="shared" si="2"/>
        <v>Low</v>
      </c>
      <c r="N12" s="19" t="s">
        <v>81</v>
      </c>
      <c r="O12" s="19" t="s">
        <v>42</v>
      </c>
    </row>
    <row r="13" spans="1:15" ht="26" x14ac:dyDescent="0.35">
      <c r="A13" s="19" t="s">
        <v>20</v>
      </c>
      <c r="B13" s="21" t="s">
        <v>28</v>
      </c>
      <c r="C13" s="19" t="s">
        <v>82</v>
      </c>
      <c r="D13" s="19" t="s">
        <v>83</v>
      </c>
      <c r="E13" s="19" t="s">
        <v>123</v>
      </c>
      <c r="F13" s="22">
        <v>3</v>
      </c>
      <c r="G13" s="22">
        <v>3</v>
      </c>
      <c r="H13" s="22">
        <v>2</v>
      </c>
      <c r="I13" s="22">
        <f t="shared" si="0"/>
        <v>9</v>
      </c>
      <c r="J13" s="22">
        <f t="shared" si="1"/>
        <v>18</v>
      </c>
      <c r="K13" s="19" t="s">
        <v>35</v>
      </c>
      <c r="L13" s="19" t="s">
        <v>84</v>
      </c>
      <c r="M13" s="19" t="str">
        <f t="shared" si="2"/>
        <v>Low</v>
      </c>
      <c r="N13" s="19" t="s">
        <v>85</v>
      </c>
      <c r="O13" s="19" t="s">
        <v>39</v>
      </c>
    </row>
    <row r="14" spans="1:15" ht="26" x14ac:dyDescent="0.35">
      <c r="A14" s="19" t="s">
        <v>21</v>
      </c>
      <c r="B14" s="21" t="s">
        <v>29</v>
      </c>
      <c r="C14" s="19" t="s">
        <v>86</v>
      </c>
      <c r="D14" s="19" t="s">
        <v>87</v>
      </c>
      <c r="E14" s="19" t="s">
        <v>124</v>
      </c>
      <c r="F14" s="22">
        <v>2</v>
      </c>
      <c r="G14" s="22">
        <v>5</v>
      </c>
      <c r="H14" s="22">
        <v>4</v>
      </c>
      <c r="I14" s="22">
        <f t="shared" si="0"/>
        <v>10</v>
      </c>
      <c r="J14" s="22">
        <f t="shared" si="1"/>
        <v>40</v>
      </c>
      <c r="K14" s="19" t="s">
        <v>33</v>
      </c>
      <c r="L14" s="19" t="s">
        <v>88</v>
      </c>
      <c r="M14" s="19" t="str">
        <f t="shared" si="2"/>
        <v>High</v>
      </c>
      <c r="N14" s="19" t="s">
        <v>89</v>
      </c>
      <c r="O14" s="19" t="s">
        <v>39</v>
      </c>
    </row>
  </sheetData>
  <mergeCells count="1">
    <mergeCell ref="A1:O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31E5-8B09-4C24-A64E-0BCFCFC1FAC0}">
  <dimension ref="A1:C14"/>
  <sheetViews>
    <sheetView workbookViewId="0">
      <selection activeCell="A10" sqref="A10"/>
    </sheetView>
  </sheetViews>
  <sheetFormatPr defaultRowHeight="14.5" x14ac:dyDescent="0.35"/>
  <cols>
    <col min="1" max="1" width="15" customWidth="1"/>
    <col min="2" max="2" width="21.6328125" customWidth="1"/>
    <col min="3" max="3" width="14.453125" customWidth="1"/>
  </cols>
  <sheetData>
    <row r="1" spans="1:3" x14ac:dyDescent="0.35">
      <c r="A1" s="24" t="s">
        <v>143</v>
      </c>
      <c r="B1" s="24"/>
      <c r="C1" s="24"/>
    </row>
    <row r="2" spans="1:3" x14ac:dyDescent="0.35">
      <c r="A2" t="s">
        <v>44</v>
      </c>
      <c r="B2" t="s">
        <v>31</v>
      </c>
      <c r="C2" t="s">
        <v>45</v>
      </c>
    </row>
    <row r="3" spans="1:3" x14ac:dyDescent="0.35">
      <c r="A3">
        <v>1</v>
      </c>
      <c r="B3" t="s">
        <v>46</v>
      </c>
      <c r="C3" t="s">
        <v>51</v>
      </c>
    </row>
    <row r="4" spans="1:3" x14ac:dyDescent="0.35">
      <c r="A4">
        <v>2</v>
      </c>
      <c r="B4" t="s">
        <v>47</v>
      </c>
      <c r="C4" t="s">
        <v>52</v>
      </c>
    </row>
    <row r="5" spans="1:3" x14ac:dyDescent="0.35">
      <c r="A5">
        <v>3</v>
      </c>
      <c r="B5" t="s">
        <v>48</v>
      </c>
      <c r="C5" t="s">
        <v>53</v>
      </c>
    </row>
    <row r="6" spans="1:3" x14ac:dyDescent="0.35">
      <c r="A6">
        <v>4</v>
      </c>
      <c r="B6" t="s">
        <v>49</v>
      </c>
      <c r="C6" t="s">
        <v>54</v>
      </c>
    </row>
    <row r="7" spans="1:3" x14ac:dyDescent="0.35">
      <c r="A7">
        <v>5</v>
      </c>
      <c r="B7" t="s">
        <v>50</v>
      </c>
      <c r="C7" t="s">
        <v>55</v>
      </c>
    </row>
    <row r="9" spans="1:3" x14ac:dyDescent="0.35">
      <c r="A9" s="24" t="s">
        <v>144</v>
      </c>
      <c r="B9" s="24"/>
    </row>
    <row r="10" spans="1:3" x14ac:dyDescent="0.35">
      <c r="A10" t="s">
        <v>44</v>
      </c>
      <c r="B10" t="s">
        <v>56</v>
      </c>
    </row>
    <row r="11" spans="1:3" x14ac:dyDescent="0.35">
      <c r="A11">
        <v>1</v>
      </c>
      <c r="B11" t="s">
        <v>57</v>
      </c>
    </row>
    <row r="12" spans="1:3" x14ac:dyDescent="0.35">
      <c r="A12">
        <v>2</v>
      </c>
      <c r="B12" t="s">
        <v>48</v>
      </c>
    </row>
    <row r="13" spans="1:3" x14ac:dyDescent="0.35">
      <c r="A13">
        <v>3</v>
      </c>
      <c r="B13" t="s">
        <v>58</v>
      </c>
    </row>
    <row r="14" spans="1:3" x14ac:dyDescent="0.35">
      <c r="A14">
        <v>4</v>
      </c>
      <c r="B14" t="s">
        <v>59</v>
      </c>
    </row>
  </sheetData>
  <mergeCells count="2">
    <mergeCell ref="A1:C1"/>
    <mergeCell ref="A9:B9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90128-828B-40FC-8726-0B56D627623A}">
  <dimension ref="A1:H21"/>
  <sheetViews>
    <sheetView tabSelected="1" zoomScale="85" workbookViewId="0">
      <selection activeCell="D17" sqref="D17"/>
    </sheetView>
  </sheetViews>
  <sheetFormatPr defaultRowHeight="14.5" x14ac:dyDescent="0.35"/>
  <cols>
    <col min="1" max="1" width="13.54296875" customWidth="1"/>
    <col min="2" max="2" width="26.90625" customWidth="1"/>
    <col min="3" max="3" width="26.6328125" customWidth="1"/>
    <col min="4" max="4" width="30.6328125" customWidth="1"/>
    <col min="5" max="5" width="24" customWidth="1"/>
    <col min="6" max="6" width="27" customWidth="1"/>
    <col min="7" max="7" width="20.36328125" customWidth="1"/>
    <col min="8" max="8" width="17.453125" customWidth="1"/>
  </cols>
  <sheetData>
    <row r="1" spans="1:8" x14ac:dyDescent="0.35">
      <c r="A1" s="23" t="s">
        <v>145</v>
      </c>
      <c r="B1" s="24"/>
      <c r="C1" s="24"/>
      <c r="D1" s="24"/>
      <c r="E1" s="24"/>
      <c r="F1" s="24"/>
      <c r="G1" s="24"/>
      <c r="H1" s="3"/>
    </row>
    <row r="2" spans="1:8" ht="29" x14ac:dyDescent="0.35">
      <c r="A2" s="12" t="s">
        <v>125</v>
      </c>
      <c r="B2" s="13" t="s">
        <v>126</v>
      </c>
      <c r="C2" s="13" t="s">
        <v>127</v>
      </c>
      <c r="D2" s="13" t="s">
        <v>128</v>
      </c>
      <c r="E2" s="13" t="s">
        <v>129</v>
      </c>
      <c r="F2" s="13" t="s">
        <v>130</v>
      </c>
      <c r="G2" s="14" t="s">
        <v>131</v>
      </c>
      <c r="H2" s="15" t="s">
        <v>141</v>
      </c>
    </row>
    <row r="3" spans="1:8" x14ac:dyDescent="0.35">
      <c r="A3" s="4" t="s">
        <v>33</v>
      </c>
      <c r="B3" s="9">
        <f>COUNTIFS('Risk Register'!$K:$K,$A3,'Risk Register'!$F:$F,1)</f>
        <v>0</v>
      </c>
      <c r="C3" s="5">
        <f>COUNTIFS('Risk Register'!$K:$K,$A3,'Risk Register'!$F:$F,2)</f>
        <v>1</v>
      </c>
      <c r="D3" s="9">
        <f>COUNTIFS('Risk Register'!$K:$K,$A3,'Risk Register'!$F:$F,3)</f>
        <v>2</v>
      </c>
      <c r="E3" s="5">
        <f>COUNTIFS('Risk Register'!$K:$K,$A3,'Risk Register'!$F:$F,4)</f>
        <v>2</v>
      </c>
      <c r="F3" s="5">
        <f>COUNTIFS('Risk Register'!$K:$K,$A3,'Risk Register'!$F:$F,5)</f>
        <v>0</v>
      </c>
      <c r="G3" s="6">
        <f>SUM(B3:F3)</f>
        <v>5</v>
      </c>
      <c r="H3" s="11">
        <f>SUMPRODUCT(B3:F3,{1,2,3,4,5}) / G3</f>
        <v>3.2</v>
      </c>
    </row>
    <row r="4" spans="1:8" x14ac:dyDescent="0.35">
      <c r="A4" s="7" t="s">
        <v>34</v>
      </c>
      <c r="B4" s="8">
        <f>COUNTIFS('Risk Register'!$K:$K,$A4,'Risk Register'!$F:$F,1)</f>
        <v>1</v>
      </c>
      <c r="C4" s="8">
        <f>COUNTIFS('Risk Register'!$K:$K,$A4,'Risk Register'!$F:$F,2)</f>
        <v>0</v>
      </c>
      <c r="D4" s="8">
        <f>COUNTIFS('Risk Register'!$K:$K,$A4,'Risk Register'!$F:$F,3)</f>
        <v>2</v>
      </c>
      <c r="E4" s="8">
        <f>COUNTIFS('Risk Register'!$K:$K,$A4,'Risk Register'!$F:$F,4)</f>
        <v>1</v>
      </c>
      <c r="F4" s="8">
        <f>COUNTIFS('Risk Register'!$K:$K,$A4,'Risk Register'!$F:$F,5)</f>
        <v>0</v>
      </c>
      <c r="G4" s="10">
        <f t="shared" ref="G4:G6" si="0">SUM(B4:F4)</f>
        <v>4</v>
      </c>
      <c r="H4">
        <f>SUMPRODUCT(B4:F4,{1,2,3,4,5}) / G4</f>
        <v>2.75</v>
      </c>
    </row>
    <row r="5" spans="1:8" x14ac:dyDescent="0.35">
      <c r="A5" s="4" t="s">
        <v>35</v>
      </c>
      <c r="B5" s="5">
        <f>COUNTIFS('Risk Register'!$K:$K,$A5,'Risk Register'!$F:$F,1)</f>
        <v>0</v>
      </c>
      <c r="C5" s="5">
        <f>COUNTIFS('Risk Register'!$K:$K,$A5,'Risk Register'!$F:$F,2)</f>
        <v>1</v>
      </c>
      <c r="D5" s="5">
        <f>COUNTIFS('Risk Register'!$K:$K,$A5,'Risk Register'!$F:$F,3)</f>
        <v>1</v>
      </c>
      <c r="E5" s="5">
        <f>COUNTIFS('Risk Register'!$K:$K,$A5,'Risk Register'!$F:$F,4)</f>
        <v>0</v>
      </c>
      <c r="F5" s="5">
        <f>COUNTIFS('Risk Register'!$K:$K,$A5,'Risk Register'!$F:$F,5)</f>
        <v>0</v>
      </c>
      <c r="G5" s="6">
        <f t="shared" si="0"/>
        <v>2</v>
      </c>
      <c r="H5" s="11">
        <f>SUMPRODUCT(B5:F5,{1,2,3,4,5}) / G5</f>
        <v>2.5</v>
      </c>
    </row>
    <row r="6" spans="1:8" x14ac:dyDescent="0.35">
      <c r="A6" s="1" t="s">
        <v>36</v>
      </c>
      <c r="B6" s="2">
        <f>COUNTIFS('Risk Register'!$K:$K,$A6,'Risk Register'!$F:$F,1)</f>
        <v>0</v>
      </c>
      <c r="C6" s="2">
        <f>COUNTIFS('Risk Register'!$K:$K,$A6,'Risk Register'!$F:$F,2)</f>
        <v>1</v>
      </c>
      <c r="D6" s="2">
        <f>COUNTIFS('Risk Register'!$K:$K,$A6,'Risk Register'!$F:$F,3)</f>
        <v>0</v>
      </c>
      <c r="E6" s="2">
        <f>COUNTIFS('Risk Register'!$K:$K,$A6,'Risk Register'!$F:$F,4)</f>
        <v>0</v>
      </c>
      <c r="F6" s="2">
        <f>COUNTIFS('Risk Register'!$K:$K,$A6,'Risk Register'!$F:$F,5)</f>
        <v>0</v>
      </c>
      <c r="G6" s="10">
        <f t="shared" si="0"/>
        <v>1</v>
      </c>
      <c r="H6">
        <f>SUMPRODUCT(B6:F6,{1,2,3,4,5}) / G6</f>
        <v>2</v>
      </c>
    </row>
    <row r="9" spans="1:8" x14ac:dyDescent="0.35">
      <c r="A9" s="25" t="s">
        <v>146</v>
      </c>
      <c r="B9" s="26"/>
      <c r="C9" s="26"/>
      <c r="D9" s="26"/>
      <c r="E9" s="26"/>
      <c r="F9" s="26"/>
      <c r="G9" s="26"/>
      <c r="H9" s="3"/>
    </row>
    <row r="10" spans="1:8" ht="29" x14ac:dyDescent="0.35">
      <c r="A10" s="16" t="s">
        <v>125</v>
      </c>
      <c r="B10" s="16" t="s">
        <v>132</v>
      </c>
      <c r="C10" s="16" t="s">
        <v>133</v>
      </c>
      <c r="D10" s="16" t="s">
        <v>134</v>
      </c>
      <c r="E10" s="16" t="s">
        <v>135</v>
      </c>
      <c r="F10" s="16" t="s">
        <v>136</v>
      </c>
      <c r="G10" s="16" t="s">
        <v>131</v>
      </c>
      <c r="H10" s="16" t="s">
        <v>138</v>
      </c>
    </row>
    <row r="11" spans="1:8" x14ac:dyDescent="0.35">
      <c r="A11" s="8" t="s">
        <v>137</v>
      </c>
      <c r="B11" s="8">
        <f>COUNTIFS('Risk Register'!$K:$K,$A3,'Risk Register'!$G:$G,1)</f>
        <v>0</v>
      </c>
      <c r="C11" s="8">
        <f>COUNTIFS('Risk Register'!$K:$K,$A3,'Risk Register'!$G:$G,2)</f>
        <v>1</v>
      </c>
      <c r="D11" s="8">
        <f>COUNTIFS('Risk Register'!$K:$K,$A3,'Risk Register'!$G:$G,3)</f>
        <v>2</v>
      </c>
      <c r="E11" s="8">
        <f>COUNTIFS('Risk Register'!$K:$K,$A3,'Risk Register'!$G:$G,4)</f>
        <v>1</v>
      </c>
      <c r="F11" s="8">
        <f>COUNTIFS('Risk Register'!$K:$K,$A3,'Risk Register'!$G:$G,5)</f>
        <v>1</v>
      </c>
      <c r="G11" s="8">
        <f t="shared" ref="G11:G14" si="1">SUM(B11:F11)</f>
        <v>5</v>
      </c>
      <c r="H11">
        <f>SUMPRODUCT(B11:F11,{1,2,3,4,5})/G11</f>
        <v>3.4</v>
      </c>
    </row>
    <row r="12" spans="1:8" ht="29" x14ac:dyDescent="0.35">
      <c r="A12" s="18" t="s">
        <v>34</v>
      </c>
      <c r="B12" s="8">
        <f>COUNTIFS('Risk Register'!$K:$K,$A4,'Risk Register'!$G:$G,1)</f>
        <v>0</v>
      </c>
      <c r="C12" s="8">
        <f>COUNTIFS('Risk Register'!$K:$K,$A4,'Risk Register'!$G:$G,2)</f>
        <v>0</v>
      </c>
      <c r="D12" s="8">
        <f>COUNTIFS('Risk Register'!$K:$K,$A4,'Risk Register'!$G:$G,3)</f>
        <v>0</v>
      </c>
      <c r="E12" s="8">
        <f>COUNTIFS('Risk Register'!$K:$K,$A4,'Risk Register'!$G:$G,4)</f>
        <v>3</v>
      </c>
      <c r="F12" s="8">
        <f>COUNTIFS('Risk Register'!$K:$K,$A4,'Risk Register'!$G:$G,5)</f>
        <v>1</v>
      </c>
      <c r="G12" s="8">
        <f t="shared" si="1"/>
        <v>4</v>
      </c>
      <c r="H12">
        <f>SUMPRODUCT(B12:F12,{1,2,3,4,5})/G12</f>
        <v>4.25</v>
      </c>
    </row>
    <row r="13" spans="1:8" x14ac:dyDescent="0.35">
      <c r="A13" s="8" t="s">
        <v>35</v>
      </c>
      <c r="B13" s="8">
        <f>COUNTIFS('Risk Register'!$K:$K,$A5,'Risk Register'!$G:$G,1)</f>
        <v>0</v>
      </c>
      <c r="C13" s="8">
        <f>COUNTIFS('Risk Register'!$K:$K,$A5,'Risk Register'!$G:$G,2)</f>
        <v>0</v>
      </c>
      <c r="D13" s="8">
        <f>COUNTIFS('Risk Register'!$K:$K,$A5,'Risk Register'!$G:$G,3)</f>
        <v>1</v>
      </c>
      <c r="E13" s="8">
        <f>COUNTIFS('Risk Register'!$K:$K,$A5,'Risk Register'!$G:$G,4)</f>
        <v>1</v>
      </c>
      <c r="F13" s="8">
        <f>COUNTIFS('Risk Register'!$K:$K,$A5,'Risk Register'!$G:$G,5)</f>
        <v>0</v>
      </c>
      <c r="G13" s="8">
        <f t="shared" si="1"/>
        <v>2</v>
      </c>
      <c r="H13">
        <f>SUMPRODUCT(B13:F13,{1,2,3,4,5})/G13</f>
        <v>3.5</v>
      </c>
    </row>
    <row r="14" spans="1:8" x14ac:dyDescent="0.35">
      <c r="A14" s="2" t="s">
        <v>36</v>
      </c>
      <c r="B14" s="8">
        <f>COUNTIFS('Risk Register'!$K:$K,$A6,'Risk Register'!$G:$G,1)</f>
        <v>0</v>
      </c>
      <c r="C14" s="8">
        <f>COUNTIFS('Risk Register'!$K:$K,$A6,'Risk Register'!$G:$G,2)</f>
        <v>0</v>
      </c>
      <c r="D14" s="8">
        <f>COUNTIFS('Risk Register'!$K:$K,$A6,'Risk Register'!$G:$G,3)</f>
        <v>0</v>
      </c>
      <c r="E14" s="8">
        <f>COUNTIFS('Risk Register'!$K:$K,$A6,'Risk Register'!$G:$G,4)</f>
        <v>0</v>
      </c>
      <c r="F14" s="8">
        <f>COUNTIFS('Risk Register'!$K:$K,$A6,'Risk Register'!$G:$G,5)</f>
        <v>1</v>
      </c>
      <c r="G14" s="2">
        <f t="shared" si="1"/>
        <v>1</v>
      </c>
      <c r="H14">
        <f>SUMPRODUCT(B14:F14,{1,2,3,4,5})/G14</f>
        <v>5</v>
      </c>
    </row>
    <row r="16" spans="1:8" x14ac:dyDescent="0.35">
      <c r="A16" s="23" t="s">
        <v>147</v>
      </c>
      <c r="B16" s="24"/>
      <c r="C16" s="24"/>
    </row>
    <row r="17" spans="1:3" x14ac:dyDescent="0.35">
      <c r="A17" t="s">
        <v>32</v>
      </c>
      <c r="B17" t="s">
        <v>139</v>
      </c>
      <c r="C17" t="s">
        <v>140</v>
      </c>
    </row>
    <row r="18" spans="1:3" x14ac:dyDescent="0.35">
      <c r="A18" t="s">
        <v>33</v>
      </c>
      <c r="B18">
        <f t="shared" ref="B18:B21" si="2">H3*H11</f>
        <v>10.88</v>
      </c>
      <c r="C18">
        <f>_xlfn.RANK.EQ(B18,$B$18:$B$21,0)</f>
        <v>2</v>
      </c>
    </row>
    <row r="19" spans="1:3" ht="29" x14ac:dyDescent="0.35">
      <c r="A19" s="17" t="s">
        <v>34</v>
      </c>
      <c r="B19">
        <f>H4*H12</f>
        <v>11.6875</v>
      </c>
      <c r="C19">
        <f t="shared" ref="C18:C21" si="3">_xlfn.RANK.EQ(B19,$B$18:$B$21,0)</f>
        <v>1</v>
      </c>
    </row>
    <row r="20" spans="1:3" x14ac:dyDescent="0.35">
      <c r="A20" t="s">
        <v>35</v>
      </c>
      <c r="B20">
        <f t="shared" si="2"/>
        <v>8.75</v>
      </c>
      <c r="C20">
        <f t="shared" si="3"/>
        <v>4</v>
      </c>
    </row>
    <row r="21" spans="1:3" x14ac:dyDescent="0.35">
      <c r="A21" t="s">
        <v>36</v>
      </c>
      <c r="B21">
        <f t="shared" si="2"/>
        <v>10</v>
      </c>
      <c r="C21">
        <f t="shared" si="3"/>
        <v>3</v>
      </c>
    </row>
  </sheetData>
  <mergeCells count="3">
    <mergeCell ref="A1:G1"/>
    <mergeCell ref="A9:G9"/>
    <mergeCell ref="A16:C16"/>
  </mergeCells>
  <phoneticPr fontId="5" type="noConversion"/>
  <pageMargins left="0.7" right="0.7" top="0.75" bottom="0.75" header="0.3" footer="0.3"/>
  <pageSetup paperSize="9" orientation="portrait" r:id="rId1"/>
  <ignoredErrors>
    <ignoredError sqref="E6" calculatedColumn="1"/>
  </ignoredErrors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630ADD-C0DB-4B1F-8721-8399D8A1FE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Scoring System</vt:lpstr>
      <vt:lpstr>Catagory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Williams (Student)</dc:creator>
  <cp:lastModifiedBy>Erin Williams (Student)</cp:lastModifiedBy>
  <dcterms:created xsi:type="dcterms:W3CDTF">2026-02-02T12:58:48Z</dcterms:created>
  <dcterms:modified xsi:type="dcterms:W3CDTF">2026-02-23T07:13:57Z</dcterms:modified>
</cp:coreProperties>
</file>