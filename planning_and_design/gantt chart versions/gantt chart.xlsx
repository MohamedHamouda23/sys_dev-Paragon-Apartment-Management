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hamouda/Desktop/"/>
    </mc:Choice>
  </mc:AlternateContent>
  <xr:revisionPtr revIDLastSave="0" documentId="8_{2AA10777-1331-8542-9933-E2A390C40207}" xr6:coauthVersionLast="47" xr6:coauthVersionMax="47" xr10:uidLastSave="{00000000-0000-0000-0000-000000000000}"/>
  <bookViews>
    <workbookView xWindow="5080" yWindow="3000" windowWidth="28160" windowHeight="17500" xr2:uid="{00000000-000D-0000-FFFF-FFFF00000000}"/>
  </bookViews>
  <sheets>
    <sheet name="Project schedule" sheetId="1" r:id="rId1"/>
  </sheets>
  <definedNames>
    <definedName name="Display_Week">'Project schedule'!$R$2</definedName>
    <definedName name="_xlnm.Print_Titles" localSheetId="0">'Project schedule'!$4:$6</definedName>
    <definedName name="Project_Start">'Project schedule'!$R$1</definedName>
    <definedName name="task_end" localSheetId="0">'Project schedule'!$G1</definedName>
    <definedName name="task_progress" localSheetId="0">'Project schedule'!$E1</definedName>
    <definedName name="task_start" localSheetId="0">'Project schedule'!$F1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3" i="1" l="1"/>
  <c r="I42" i="1"/>
  <c r="I40" i="1"/>
  <c r="I39" i="1"/>
  <c r="I38" i="1"/>
  <c r="I19" i="1"/>
  <c r="I13" i="1"/>
  <c r="I8" i="1"/>
  <c r="I7" i="1"/>
  <c r="J4" i="1"/>
  <c r="R1" i="1"/>
  <c r="J5" i="1" l="1"/>
  <c r="F9" i="1"/>
  <c r="J6" i="1" l="1"/>
  <c r="K5" i="1"/>
  <c r="G9" i="1"/>
  <c r="F10" i="1" l="1"/>
  <c r="I9" i="1"/>
  <c r="L5" i="1"/>
  <c r="K6" i="1"/>
  <c r="G10" i="1"/>
  <c r="F11" i="1" s="1"/>
  <c r="I10" i="1"/>
  <c r="L6" i="1" l="1"/>
  <c r="M5" i="1"/>
  <c r="G11" i="1"/>
  <c r="F12" i="1" s="1"/>
  <c r="I11" i="1"/>
  <c r="N5" i="1" l="1"/>
  <c r="M6" i="1"/>
  <c r="G12" i="1"/>
  <c r="I12" i="1"/>
  <c r="N6" i="1" l="1"/>
  <c r="O5" i="1"/>
  <c r="F14" i="1"/>
  <c r="F15" i="1"/>
  <c r="F16" i="1"/>
  <c r="P5" i="1" l="1"/>
  <c r="O6" i="1"/>
  <c r="G14" i="1"/>
  <c r="I14" i="1"/>
  <c r="G15" i="1"/>
  <c r="I15" i="1"/>
  <c r="G16" i="1"/>
  <c r="F18" i="1" l="1"/>
  <c r="I16" i="1"/>
  <c r="Q5" i="1"/>
  <c r="P6" i="1"/>
  <c r="F17" i="1"/>
  <c r="G17" i="1"/>
  <c r="F20" i="1"/>
  <c r="G18" i="1"/>
  <c r="I18" i="1"/>
  <c r="Q6" i="1" l="1"/>
  <c r="R5" i="1"/>
  <c r="G20" i="1"/>
  <c r="F21" i="1" s="1"/>
  <c r="I20" i="1"/>
  <c r="S5" i="1" l="1"/>
  <c r="R6" i="1"/>
  <c r="G21" i="1"/>
  <c r="F23" i="1" s="1"/>
  <c r="I21" i="1"/>
  <c r="F22" i="1"/>
  <c r="S6" i="1" l="1"/>
  <c r="T5" i="1"/>
  <c r="G23" i="1"/>
  <c r="G22" i="1"/>
  <c r="I22" i="1"/>
  <c r="F25" i="1"/>
  <c r="F26" i="1"/>
  <c r="G26" i="1"/>
  <c r="F27" i="1"/>
  <c r="G27" i="1" s="1"/>
  <c r="F28" i="1"/>
  <c r="G28" i="1" s="1"/>
  <c r="F29" i="1" s="1"/>
  <c r="G29" i="1" s="1"/>
  <c r="U5" i="1" l="1"/>
  <c r="T6" i="1"/>
  <c r="G25" i="1"/>
  <c r="I25" i="1"/>
  <c r="F30" i="1"/>
  <c r="G30" i="1" s="1"/>
  <c r="F31" i="1"/>
  <c r="F24" i="1"/>
  <c r="G24" i="1" s="1"/>
  <c r="I23" i="1"/>
  <c r="V5" i="1" l="1"/>
  <c r="U6" i="1"/>
  <c r="G31" i="1"/>
  <c r="F32" i="1"/>
  <c r="W5" i="1" l="1"/>
  <c r="V6" i="1"/>
  <c r="G32" i="1"/>
  <c r="F33" i="1"/>
  <c r="W6" i="1" l="1"/>
  <c r="X5" i="1"/>
  <c r="G33" i="1"/>
  <c r="F34" i="1"/>
  <c r="Y5" i="1" l="1"/>
  <c r="X6" i="1"/>
  <c r="G34" i="1"/>
  <c r="F35" i="1"/>
  <c r="Z5" i="1" l="1"/>
  <c r="Y6" i="1"/>
  <c r="G35" i="1"/>
  <c r="F36" i="1"/>
  <c r="G36" i="1" s="1"/>
  <c r="F37" i="1" s="1"/>
  <c r="G37" i="1" s="1"/>
  <c r="Z6" i="1" l="1"/>
  <c r="AA5" i="1"/>
  <c r="AB5" i="1" l="1"/>
  <c r="AA6" i="1"/>
  <c r="AC5" i="1" l="1"/>
  <c r="AB6" i="1"/>
  <c r="AD5" i="1" l="1"/>
  <c r="AC6" i="1"/>
  <c r="AD6" i="1" l="1"/>
  <c r="AE5" i="1"/>
  <c r="AF5" i="1" l="1"/>
  <c r="AE6" i="1"/>
  <c r="AF6" i="1" l="1"/>
  <c r="AG5" i="1"/>
  <c r="AH5" i="1" l="1"/>
  <c r="AG6" i="1"/>
  <c r="AI5" i="1" l="1"/>
  <c r="AH6" i="1"/>
  <c r="AI6" i="1" l="1"/>
  <c r="AJ5" i="1"/>
  <c r="AJ6" i="1" l="1"/>
  <c r="AK5" i="1"/>
  <c r="AL5" i="1" l="1"/>
  <c r="AK6" i="1"/>
  <c r="AM5" i="1" l="1"/>
  <c r="AL6" i="1"/>
  <c r="AM6" i="1" l="1"/>
  <c r="AN5" i="1"/>
  <c r="AO5" i="1" l="1"/>
  <c r="AN6" i="1"/>
  <c r="AP5" i="1" l="1"/>
  <c r="AO6" i="1"/>
  <c r="AP6" i="1" l="1"/>
  <c r="AQ5" i="1"/>
  <c r="AQ6" i="1" l="1"/>
  <c r="AR5" i="1"/>
  <c r="AS5" i="1" l="1"/>
  <c r="AR6" i="1"/>
  <c r="AT5" i="1" l="1"/>
  <c r="AS6" i="1"/>
  <c r="AU5" i="1" l="1"/>
  <c r="AT6" i="1"/>
  <c r="AU6" i="1" l="1"/>
  <c r="AV5" i="1"/>
  <c r="AW5" i="1" l="1"/>
  <c r="AV6" i="1"/>
  <c r="AW6" i="1" l="1"/>
  <c r="AX5" i="1"/>
  <c r="AY5" i="1" l="1"/>
  <c r="AX6" i="1"/>
  <c r="AY6" i="1" l="1"/>
  <c r="AZ5" i="1"/>
  <c r="BA5" i="1" l="1"/>
  <c r="AZ6" i="1"/>
  <c r="BB5" i="1" l="1"/>
  <c r="BA6" i="1"/>
  <c r="BC5" i="1" l="1"/>
  <c r="BB6" i="1"/>
  <c r="BD5" i="1" l="1"/>
  <c r="BC6" i="1"/>
  <c r="BE5" i="1" l="1"/>
  <c r="BD6" i="1"/>
  <c r="BE6" i="1" l="1"/>
  <c r="BF5" i="1"/>
  <c r="BG5" i="1" l="1"/>
  <c r="BF6" i="1"/>
  <c r="BH5" i="1" l="1"/>
  <c r="BG6" i="1"/>
  <c r="BI5" i="1" l="1"/>
  <c r="BH6" i="1"/>
  <c r="BJ5" i="1" l="1"/>
  <c r="BI6" i="1"/>
  <c r="BK5" i="1" l="1"/>
  <c r="BJ6" i="1"/>
  <c r="BL5" i="1" l="1"/>
  <c r="BK6" i="1"/>
  <c r="BL6" i="1" l="1"/>
  <c r="BM5" i="1"/>
  <c r="BN5" i="1" l="1"/>
  <c r="BM6" i="1"/>
  <c r="BO5" i="1" l="1"/>
  <c r="BN6" i="1"/>
  <c r="BP5" i="1" l="1"/>
  <c r="BO6" i="1"/>
  <c r="BP6" i="1" l="1"/>
  <c r="BQ5" i="1"/>
  <c r="BR5" i="1" l="1"/>
  <c r="BQ6" i="1"/>
  <c r="BS5" i="1" l="1"/>
  <c r="BR6" i="1"/>
  <c r="BT5" i="1" l="1"/>
  <c r="BS6" i="1"/>
  <c r="BU5" i="1" l="1"/>
  <c r="BT6" i="1"/>
  <c r="BV5" i="1" l="1"/>
  <c r="BU6" i="1"/>
  <c r="BV6" i="1" l="1"/>
  <c r="BW5" i="1"/>
  <c r="BX5" i="1" l="1"/>
  <c r="BW6" i="1"/>
  <c r="BY5" i="1" l="1"/>
  <c r="BX6" i="1"/>
  <c r="BY6" i="1" l="1"/>
  <c r="BZ5" i="1"/>
  <c r="CA5" i="1" l="1"/>
  <c r="BZ6" i="1"/>
  <c r="CA6" i="1" l="1"/>
  <c r="CB5" i="1"/>
  <c r="CB6" i="1" l="1"/>
  <c r="CC5" i="1"/>
  <c r="CD5" i="1" l="1"/>
  <c r="CC6" i="1"/>
  <c r="CE5" i="1" l="1"/>
  <c r="CD6" i="1"/>
  <c r="CF5" i="1" l="1"/>
  <c r="CE6" i="1"/>
  <c r="CF6" i="1" l="1"/>
  <c r="CG5" i="1"/>
  <c r="CG6" i="1" l="1"/>
  <c r="CH5" i="1"/>
  <c r="CI5" i="1" l="1"/>
  <c r="CH6" i="1"/>
  <c r="CJ5" i="1" l="1"/>
  <c r="CI6" i="1"/>
  <c r="CK5" i="1" l="1"/>
  <c r="CJ6" i="1"/>
  <c r="CL5" i="1" l="1"/>
  <c r="CK6" i="1"/>
  <c r="CM5" i="1" l="1"/>
  <c r="CL6" i="1"/>
  <c r="CN5" i="1" l="1"/>
  <c r="CM6" i="1"/>
  <c r="CN6" i="1" l="1"/>
  <c r="CO5" i="1"/>
  <c r="CP5" i="1" l="1"/>
  <c r="CO6" i="1"/>
  <c r="CP6" i="1" l="1"/>
  <c r="CQ5" i="1"/>
  <c r="CR5" i="1" l="1"/>
  <c r="CQ6" i="1"/>
  <c r="CR6" i="1" l="1"/>
  <c r="CS5" i="1"/>
  <c r="CT5" i="1" l="1"/>
  <c r="CS6" i="1"/>
  <c r="CU5" i="1" l="1"/>
  <c r="CT6" i="1"/>
  <c r="CU6" i="1" l="1"/>
  <c r="CV5" i="1"/>
  <c r="CV6" i="1" l="1"/>
  <c r="CW5" i="1"/>
  <c r="CX5" i="1" l="1"/>
  <c r="CW6" i="1"/>
  <c r="CY5" i="1" l="1"/>
  <c r="CX6" i="1"/>
  <c r="CY6" i="1" l="1"/>
  <c r="CZ5" i="1"/>
  <c r="DA5" i="1" l="1"/>
  <c r="CZ6" i="1"/>
  <c r="DA6" i="1" l="1"/>
  <c r="DB5" i="1"/>
  <c r="DC5" i="1" l="1"/>
  <c r="DB6" i="1"/>
  <c r="DC6" i="1" l="1"/>
  <c r="DD5" i="1"/>
  <c r="DE5" i="1" l="1"/>
  <c r="DD6" i="1"/>
  <c r="DE6" i="1" l="1"/>
  <c r="DF5" i="1"/>
  <c r="DG5" i="1" l="1"/>
  <c r="DF6" i="1"/>
  <c r="DH5" i="1" l="1"/>
  <c r="DG6" i="1"/>
  <c r="DH6" i="1" l="1"/>
  <c r="DI5" i="1"/>
  <c r="DJ5" i="1" l="1"/>
  <c r="DI6" i="1"/>
  <c r="DJ6" i="1" l="1"/>
  <c r="DK5" i="1"/>
  <c r="DK6" i="1" l="1"/>
  <c r="DL5" i="1"/>
  <c r="DM5" i="1" l="1"/>
  <c r="DL6" i="1"/>
  <c r="DN5" i="1" l="1"/>
  <c r="DM6" i="1"/>
  <c r="DN6" i="1" l="1"/>
  <c r="DO5" i="1"/>
  <c r="DP5" i="1" l="1"/>
  <c r="DO6" i="1"/>
  <c r="DP6" i="1" l="1"/>
  <c r="DQ5" i="1"/>
  <c r="DR5" i="1" l="1"/>
  <c r="DQ6" i="1"/>
  <c r="DR6" i="1" l="1"/>
  <c r="DS5" i="1"/>
  <c r="DT5" i="1" l="1"/>
  <c r="DS6" i="1"/>
  <c r="DU5" i="1" l="1"/>
  <c r="DT6" i="1"/>
  <c r="DV5" i="1" l="1"/>
  <c r="DU6" i="1"/>
  <c r="DV6" i="1" l="1"/>
  <c r="DW5" i="1"/>
  <c r="DW6" i="1" l="1"/>
  <c r="DX5" i="1"/>
  <c r="DY5" i="1" l="1"/>
  <c r="DX6" i="1"/>
  <c r="DZ5" i="1" l="1"/>
  <c r="DY6" i="1"/>
  <c r="EA5" i="1" l="1"/>
  <c r="DZ6" i="1"/>
  <c r="EA6" i="1" l="1"/>
  <c r="EB5" i="1"/>
  <c r="EC5" i="1" l="1"/>
  <c r="EB6" i="1"/>
  <c r="EC6" i="1" l="1"/>
  <c r="ED5" i="1"/>
  <c r="EE5" i="1" l="1"/>
  <c r="ED6" i="1"/>
  <c r="EE6" i="1" l="1"/>
  <c r="EF5" i="1"/>
  <c r="EG5" i="1" l="1"/>
  <c r="EF6" i="1"/>
  <c r="EG6" i="1" l="1"/>
  <c r="EH5" i="1"/>
  <c r="EI5" i="1" l="1"/>
  <c r="EH6" i="1"/>
  <c r="EJ5" i="1" l="1"/>
  <c r="EI6" i="1"/>
  <c r="EJ6" i="1" l="1"/>
  <c r="EK5" i="1"/>
  <c r="EL5" i="1" l="1"/>
  <c r="EK6" i="1"/>
  <c r="EL6" i="1" l="1"/>
  <c r="EM5" i="1"/>
  <c r="EN5" i="1" l="1"/>
  <c r="EM6" i="1"/>
  <c r="EN6" i="1" l="1"/>
  <c r="EO5" i="1"/>
  <c r="EP5" i="1" l="1"/>
  <c r="EO6" i="1"/>
  <c r="EP6" i="1" l="1"/>
  <c r="EQ5" i="1"/>
  <c r="ER5" i="1" l="1"/>
  <c r="EQ6" i="1"/>
  <c r="ES5" i="1" l="1"/>
  <c r="ER6" i="1"/>
  <c r="ET5" i="1" l="1"/>
  <c r="ES6" i="1"/>
  <c r="ET6" i="1" l="1"/>
  <c r="EU5" i="1"/>
  <c r="EV5" i="1" l="1"/>
  <c r="EU6" i="1"/>
  <c r="EV6" i="1" l="1"/>
  <c r="EW5" i="1"/>
  <c r="EX5" i="1" l="1"/>
  <c r="EW6" i="1"/>
  <c r="EX6" i="1" l="1"/>
  <c r="EY5" i="1"/>
  <c r="EZ5" i="1" l="1"/>
  <c r="EY6" i="1"/>
  <c r="FA5" i="1" l="1"/>
  <c r="EZ6" i="1"/>
  <c r="FA6" i="1" l="1"/>
  <c r="FB5" i="1"/>
  <c r="FC5" i="1" l="1"/>
  <c r="FB6" i="1"/>
  <c r="FD5" i="1" l="1"/>
  <c r="FC6" i="1"/>
  <c r="FE5" i="1" l="1"/>
  <c r="FD6" i="1"/>
  <c r="FF5" i="1" l="1"/>
  <c r="FE6" i="1"/>
  <c r="FG5" i="1" l="1"/>
  <c r="FF6" i="1"/>
  <c r="FH5" i="1" l="1"/>
  <c r="FG6" i="1"/>
  <c r="FI5" i="1" l="1"/>
  <c r="FH6" i="1"/>
  <c r="FJ5" i="1" l="1"/>
  <c r="FI6" i="1"/>
  <c r="FK5" i="1" l="1"/>
  <c r="FJ6" i="1"/>
  <c r="FL5" i="1" l="1"/>
  <c r="FK6" i="1"/>
  <c r="FM5" i="1" l="1"/>
  <c r="FL6" i="1"/>
  <c r="FN5" i="1" l="1"/>
  <c r="FM6" i="1"/>
  <c r="FO5" i="1" l="1"/>
  <c r="FN6" i="1"/>
  <c r="FP5" i="1" l="1"/>
  <c r="FO6" i="1"/>
  <c r="FQ5" i="1" l="1"/>
  <c r="FP6" i="1"/>
  <c r="FR5" i="1" l="1"/>
  <c r="FQ6" i="1"/>
  <c r="FS5" i="1" l="1"/>
  <c r="FR6" i="1"/>
  <c r="FT5" i="1" l="1"/>
  <c r="FS6" i="1"/>
  <c r="FU5" i="1" l="1"/>
  <c r="FT6" i="1"/>
  <c r="FV5" i="1" l="1"/>
  <c r="FU6" i="1"/>
  <c r="FW5" i="1" l="1"/>
  <c r="FV6" i="1"/>
  <c r="FX5" i="1" l="1"/>
  <c r="FW6" i="1"/>
  <c r="FY5" i="1" l="1"/>
  <c r="FX6" i="1"/>
  <c r="FY6" i="1" l="1"/>
  <c r="FZ5" i="1"/>
  <c r="GA5" i="1" l="1"/>
  <c r="FZ6" i="1"/>
  <c r="GA6" i="1" l="1"/>
  <c r="GB5" i="1"/>
  <c r="GC5" i="1" l="1"/>
  <c r="GB6" i="1"/>
  <c r="GD5" i="1" l="1"/>
  <c r="GC6" i="1"/>
  <c r="GE5" i="1" l="1"/>
  <c r="GD6" i="1"/>
  <c r="GF5" i="1" l="1"/>
  <c r="GE6" i="1"/>
  <c r="GG5" i="1" l="1"/>
  <c r="GF6" i="1"/>
  <c r="GH5" i="1" l="1"/>
  <c r="GG6" i="1"/>
  <c r="GI5" i="1" l="1"/>
  <c r="GI6" i="1" s="1"/>
  <c r="GH6" i="1"/>
</calcChain>
</file>

<file path=xl/sharedStrings.xml><?xml version="1.0" encoding="utf-8"?>
<sst xmlns="http://schemas.openxmlformats.org/spreadsheetml/2006/main" count="192" uniqueCount="157">
  <si>
    <t>Systems Development Group Project</t>
  </si>
  <si>
    <t>Project start:</t>
  </si>
  <si>
    <t>Paragon Apartment Management System</t>
  </si>
  <si>
    <t>Display week:</t>
  </si>
  <si>
    <t>UFCF7S-30-2</t>
  </si>
  <si>
    <t>Project Members: Mohamed, Ava, Leyla, Erin, Chiko</t>
  </si>
  <si>
    <t>Oct 13, 2025</t>
  </si>
  <si>
    <t>Oct 27, 2025</t>
  </si>
  <si>
    <t>Nov 10, 2025</t>
  </si>
  <si>
    <t>Nov 24, 2025</t>
  </si>
  <si>
    <t>Dec 8, 2025</t>
  </si>
  <si>
    <t>Dec 22, 2025</t>
  </si>
  <si>
    <t>Jan 5, 2026</t>
  </si>
  <si>
    <t>Jan 19, 2026</t>
  </si>
  <si>
    <t>Feb 2, 2026</t>
  </si>
  <si>
    <t>Feb 16, 2026</t>
  </si>
  <si>
    <t>Mar 2, 2026</t>
  </si>
  <si>
    <t>Mar 16, 2026</t>
  </si>
  <si>
    <t>ID</t>
  </si>
  <si>
    <t>TASK</t>
  </si>
  <si>
    <t>DEPENDENCIES</t>
  </si>
  <si>
    <t>ASSIGNED TO</t>
  </si>
  <si>
    <t>PROGRESS</t>
  </si>
  <si>
    <t>START</t>
  </si>
  <si>
    <t>END</t>
  </si>
  <si>
    <t>SKILL NEEDED</t>
  </si>
  <si>
    <t xml:space="preserve">Do not delete this row. This row is hidden to preserve a formula that is used to highlight the current day within the project schedule. </t>
  </si>
  <si>
    <t>Planning and Design</t>
  </si>
  <si>
    <t>A1</t>
  </si>
  <si>
    <t>Aims &amp; Objectives</t>
  </si>
  <si>
    <t>NONE</t>
  </si>
  <si>
    <t>All Group Members</t>
  </si>
  <si>
    <t>Goal setting, Documentation, Research, Teamwork</t>
  </si>
  <si>
    <t>A2</t>
  </si>
  <si>
    <t>Literature Review</t>
  </si>
  <si>
    <t>Leyla &amp; Ava</t>
  </si>
  <si>
    <t>Research, Documentation</t>
  </si>
  <si>
    <t>A3</t>
  </si>
  <si>
    <t>Create Schedule &amp; Gantt Chart</t>
  </si>
  <si>
    <t>Mohamed &amp; Ava</t>
  </si>
  <si>
    <t>Scheduling, Documentation, Communication</t>
  </si>
  <si>
    <t>A4</t>
  </si>
  <si>
    <t>Requirements Analysis</t>
  </si>
  <si>
    <t>Mohamed, Ava, Leyla, Erin</t>
  </si>
  <si>
    <t>Documentation, Research, Team-work</t>
  </si>
  <si>
    <t>System Design</t>
  </si>
  <si>
    <t>B1</t>
  </si>
  <si>
    <t>Ava</t>
  </si>
  <si>
    <t>UML, System Modelling</t>
  </si>
  <si>
    <t>B2</t>
  </si>
  <si>
    <t>Use case Diagram</t>
  </si>
  <si>
    <t>Erin</t>
  </si>
  <si>
    <t>UML, OOP, System Modelling</t>
  </si>
  <si>
    <t>B3</t>
  </si>
  <si>
    <t>Sequence Diagrams</t>
  </si>
  <si>
    <t>Mohamed</t>
  </si>
  <si>
    <t>UML, Flow Design</t>
  </si>
  <si>
    <t>D1</t>
  </si>
  <si>
    <t>ERD Design</t>
  </si>
  <si>
    <t>Database Modelling, SQL</t>
  </si>
  <si>
    <t>C1</t>
  </si>
  <si>
    <t>Risk Register</t>
  </si>
  <si>
    <t>Risk Analysis, Documentation</t>
  </si>
  <si>
    <t>Execution</t>
  </si>
  <si>
    <t>E1</t>
  </si>
  <si>
    <t>UI &amp; Helper Components</t>
  </si>
  <si>
    <t>A1, B1, D1</t>
  </si>
  <si>
    <t>Chiko</t>
  </si>
  <si>
    <t>Tkinter, Python, UI Components</t>
  </si>
  <si>
    <t>E2</t>
  </si>
  <si>
    <t>Dashboard Template</t>
  </si>
  <si>
    <t>UI Design, Layout, Components</t>
  </si>
  <si>
    <t>Database Normalisation</t>
  </si>
  <si>
    <t>B1, B2, D1</t>
  </si>
  <si>
    <t>SQL, Table Design, Queries</t>
  </si>
  <si>
    <t>D2</t>
  </si>
  <si>
    <t>Database Implementation</t>
  </si>
  <si>
    <t>F1</t>
  </si>
  <si>
    <t>Authentication System</t>
  </si>
  <si>
    <t>B1, B2</t>
  </si>
  <si>
    <t>Security, Login, RBAC</t>
  </si>
  <si>
    <t>G1</t>
  </si>
  <si>
    <t>Admin Module - Core</t>
  </si>
  <si>
    <t>E1, B1</t>
  </si>
  <si>
    <t>Mohamed &amp; Chiko</t>
  </si>
  <si>
    <t>Backend, CRUD, Role Management</t>
  </si>
  <si>
    <t>G2</t>
  </si>
  <si>
    <t>Admin - Finance &amp; Security</t>
  </si>
  <si>
    <t>Finance, Security, Reporting</t>
  </si>
  <si>
    <t>G3</t>
  </si>
  <si>
    <t>Manager - Operations</t>
  </si>
  <si>
    <t>E2, D1</t>
  </si>
  <si>
    <t>Mohammed</t>
  </si>
  <si>
    <t>Operations, Approval, Backend</t>
  </si>
  <si>
    <t>G4</t>
  </si>
  <si>
    <t>Manager - Reports</t>
  </si>
  <si>
    <t>Analytics, Reporting, SQL</t>
  </si>
  <si>
    <t>G5</t>
  </si>
  <si>
    <t>Finance - Transactions &amp; Reports</t>
  </si>
  <si>
    <t>E1, F1, D2</t>
  </si>
  <si>
    <t>Chiko, Mohammed</t>
  </si>
  <si>
    <t>Payment Processing, Backend</t>
  </si>
  <si>
    <t>G6</t>
  </si>
  <si>
    <t>Maintenance - Requests</t>
  </si>
  <si>
    <t>Reporting, Billing, SQL</t>
  </si>
  <si>
    <t>G7</t>
  </si>
  <si>
    <t>Maintenance - Scheduling</t>
  </si>
  <si>
    <t>E1, E2, D2</t>
  </si>
  <si>
    <t>Maintenance Tracking, Logging</t>
  </si>
  <si>
    <t>G8</t>
  </si>
  <si>
    <t>Front desk - Registration</t>
  </si>
  <si>
    <t>Ava, Leyla, Erin</t>
  </si>
  <si>
    <t>Scheduling, Notifications</t>
  </si>
  <si>
    <t>G9</t>
  </si>
  <si>
    <t>Front Desk - Records</t>
  </si>
  <si>
    <t>E1, E2, D3</t>
  </si>
  <si>
    <t>Registration, Data Entry</t>
  </si>
  <si>
    <t>G10</t>
  </si>
  <si>
    <t>Tenant - Profile</t>
  </si>
  <si>
    <t>E1, E2, D4</t>
  </si>
  <si>
    <t>Record Updates, Logging</t>
  </si>
  <si>
    <t>G11</t>
  </si>
  <si>
    <t xml:space="preserve">User management </t>
  </si>
  <si>
    <t>D1, E1, E2</t>
  </si>
  <si>
    <t>User data, Privacy Handling, UI, Access Control</t>
  </si>
  <si>
    <t>G12</t>
  </si>
  <si>
    <t>Lease management</t>
  </si>
  <si>
    <t>D1, E1, E3</t>
  </si>
  <si>
    <t xml:space="preserve">Leyla </t>
  </si>
  <si>
    <t>Lease Data, Privacy, Access Control, UI</t>
  </si>
  <si>
    <t>H1</t>
  </si>
  <si>
    <t>Security &amp; Validation</t>
  </si>
  <si>
    <t>All</t>
  </si>
  <si>
    <t>Authentication, SQL, Audit</t>
  </si>
  <si>
    <t>Evaluation &amp; Reporting</t>
  </si>
  <si>
    <t>I1</t>
  </si>
  <si>
    <t>Monitor progress</t>
  </si>
  <si>
    <t>None</t>
  </si>
  <si>
    <t>Testing, Verification, Comminication, Team-working</t>
  </si>
  <si>
    <t>I2</t>
  </si>
  <si>
    <t>Formative Peer Review</t>
  </si>
  <si>
    <t>Communication, Teamwork</t>
  </si>
  <si>
    <t>I3</t>
  </si>
  <si>
    <t>Validation, Documentation, Communication</t>
  </si>
  <si>
    <t>Report Writing, Documentation, Referencing, Communication</t>
  </si>
  <si>
    <t>I4</t>
  </si>
  <si>
    <t>Compile Final Report</t>
  </si>
  <si>
    <t>I5</t>
  </si>
  <si>
    <t>Individual Reflection &amp; Demo</t>
  </si>
  <si>
    <t>Reflection, Presentation</t>
  </si>
  <si>
    <t>Leyla &amp; Ava &amp; Mohamed</t>
  </si>
  <si>
    <t>Chiko &amp; Mohamed</t>
  </si>
  <si>
    <t>Chiko, Mohamed</t>
  </si>
  <si>
    <t>Erin,chiko</t>
  </si>
  <si>
    <t xml:space="preserve">Class diagram </t>
  </si>
  <si>
    <t>Final Testing and testing plan</t>
  </si>
  <si>
    <t>Mohamed,chiko,and leyla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</si>
</sst>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mmm\ d\,\ yyyy"/>
    <numFmt numFmtId="167" formatCode="ddd\,\ m/d/yyyy"/>
  </numFmts>
  <fonts count="24" x14ac:knownFonts="1">
    <font>
      <sz val="11"/>
      <color theme="1"/>
      <name val="Arial"/>
      <family val="2"/>
      <scheme val="minor"/>
    </font>
    <font>
      <sz val="12"/>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20"/>
      <color theme="9"/>
      <name val="Arial Black (Headings)"/>
    </font>
    <font>
      <b/>
      <sz val="16"/>
      <color theme="0"/>
      <name val="Arial"/>
      <family val="2"/>
      <scheme val="minor"/>
    </font>
    <font>
      <sz val="16"/>
      <color theme="0"/>
      <name val="Arial"/>
      <family val="2"/>
      <scheme val="minor"/>
    </font>
    <font>
      <b/>
      <sz val="16"/>
      <color theme="0"/>
      <name val="Arial Black"/>
      <family val="2"/>
      <scheme val="major"/>
    </font>
    <font>
      <b/>
      <sz val="18"/>
      <name val="Arial"/>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0691854609822"/>
        <bgColor indexed="64"/>
      </patternFill>
    </fill>
    <fill>
      <patternFill patternType="solid">
        <fgColor theme="6" tint="0.39997558519241921"/>
        <bgColor indexed="65"/>
      </patternFill>
    </fill>
    <fill>
      <patternFill patternType="solid">
        <fgColor theme="8" tint="0.79998168889431442"/>
        <bgColor indexed="65"/>
      </patternFill>
    </fill>
    <fill>
      <patternFill patternType="solid">
        <fgColor rgb="FFFFFF00"/>
        <bgColor indexed="64"/>
      </patternFill>
    </fill>
  </fills>
  <borders count="44">
    <border>
      <left/>
      <right/>
      <top/>
      <bottom/>
      <diagonal/>
    </border>
    <border>
      <left/>
      <right/>
      <top style="medium">
        <color theme="0" tint="-0.14990691854609822"/>
      </top>
      <bottom style="medium">
        <color theme="0" tint="-0.149906918546098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8764000366222"/>
      </left>
      <right style="thin">
        <color theme="0" tint="-0.14987640003662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style="thin">
        <color theme="1" tint="0.499984740745262"/>
      </right>
      <top/>
      <bottom style="thin">
        <color theme="1"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theme="1" tint="0.499984740745262"/>
      </top>
      <bottom style="thin">
        <color theme="1" tint="0.499984740745262"/>
      </bottom>
      <diagonal/>
    </border>
    <border>
      <left/>
      <right style="thin">
        <color indexed="64"/>
      </right>
      <top style="thin">
        <color theme="1" tint="0.499984740745262"/>
      </top>
      <bottom style="thin">
        <color theme="1" tint="0.499984740745262"/>
      </bottom>
      <diagonal/>
    </border>
    <border>
      <left style="thin">
        <color indexed="64"/>
      </left>
      <right/>
      <top/>
      <bottom style="thin">
        <color theme="1" tint="0.499984740745262"/>
      </bottom>
      <diagonal/>
    </border>
    <border>
      <left style="thin">
        <color theme="1" tint="0.499984740745262"/>
      </left>
      <right style="thin">
        <color indexed="64"/>
      </right>
      <top style="thin">
        <color theme="1" tint="0.499984740745262"/>
      </top>
      <bottom/>
      <diagonal/>
    </border>
    <border>
      <left style="thin">
        <color indexed="64"/>
      </left>
      <right/>
      <top/>
      <bottom/>
      <diagonal/>
    </border>
    <border>
      <left/>
      <right style="thin">
        <color indexed="64"/>
      </right>
      <top/>
      <bottom/>
      <diagonal/>
    </border>
    <border>
      <left style="thin">
        <color indexed="64"/>
      </left>
      <right/>
      <top style="medium">
        <color theme="0" tint="-0.14990691854609822"/>
      </top>
      <bottom style="medium">
        <color theme="0" tint="-0.14990691854609822"/>
      </bottom>
      <diagonal/>
    </border>
    <border>
      <left style="thin">
        <color theme="0" tint="-4.9989318521683403E-2"/>
      </left>
      <right style="thin">
        <color indexed="64"/>
      </right>
      <top style="thin">
        <color theme="0" tint="-4.9989318521683403E-2"/>
      </top>
      <bottom style="thin">
        <color theme="0" tint="-4.9989318521683403E-2"/>
      </bottom>
      <diagonal/>
    </border>
    <border>
      <left style="thin">
        <color indexed="64"/>
      </left>
      <right/>
      <top style="medium">
        <color theme="0" tint="-0.14990691854609822"/>
      </top>
      <bottom style="thin">
        <color indexed="64"/>
      </bottom>
      <diagonal/>
    </border>
    <border>
      <left/>
      <right/>
      <top style="thin">
        <color theme="8" tint="0.59996337778862885"/>
      </top>
      <bottom style="thin">
        <color indexed="64"/>
      </bottom>
      <diagonal/>
    </border>
    <border>
      <left/>
      <right/>
      <top style="medium">
        <color theme="0" tint="-0.14990691854609822"/>
      </top>
      <bottom style="thin">
        <color indexed="64"/>
      </bottom>
      <diagonal/>
    </border>
    <border>
      <left style="thin">
        <color theme="0" tint="-4.9989318521683403E-2"/>
      </left>
      <right style="thin">
        <color theme="0" tint="-4.9989318521683403E-2"/>
      </right>
      <top style="thin">
        <color theme="0" tint="-4.9989318521683403E-2"/>
      </top>
      <bottom style="thin">
        <color indexed="64"/>
      </bottom>
      <diagonal/>
    </border>
    <border>
      <left style="thin">
        <color theme="0" tint="-4.9989318521683403E-2"/>
      </left>
      <right style="thin">
        <color indexed="64"/>
      </right>
      <top style="thin">
        <color theme="0" tint="-4.9989318521683403E-2"/>
      </top>
      <bottom style="thin">
        <color indexed="64"/>
      </bottom>
      <diagonal/>
    </border>
    <border>
      <left style="thin">
        <color theme="1" tint="0.499984740745262"/>
      </left>
      <right style="thin">
        <color theme="1" tint="0.499984740745262"/>
      </right>
      <top/>
      <bottom style="thin">
        <color theme="1" tint="0.499984740745262"/>
      </bottom>
      <diagonal/>
    </border>
    <border>
      <left/>
      <right style="thin">
        <color indexed="64"/>
      </right>
      <top/>
      <bottom style="thin">
        <color theme="1" tint="0.499984740745262"/>
      </bottom>
      <diagonal/>
    </border>
    <border>
      <left/>
      <right style="medium">
        <color indexed="64"/>
      </right>
      <top/>
      <bottom style="medium">
        <color indexed="64"/>
      </bottom>
      <diagonal/>
    </border>
  </borders>
  <cellStyleXfs count="14">
    <xf numFmtId="0" fontId="0" fillId="0" borderId="0"/>
    <xf numFmtId="0" fontId="3" fillId="0" borderId="0">
      <alignment vertical="top"/>
      <protection locked="0"/>
    </xf>
    <xf numFmtId="9" fontId="5" fillId="0" borderId="0"/>
    <xf numFmtId="0" fontId="8" fillId="0" borderId="0"/>
    <xf numFmtId="0" fontId="7" fillId="0" borderId="0"/>
    <xf numFmtId="0" fontId="6" fillId="0" borderId="0"/>
    <xf numFmtId="0" fontId="6" fillId="0" borderId="0">
      <alignment vertical="top"/>
    </xf>
    <xf numFmtId="0" fontId="5" fillId="0" borderId="0">
      <alignment horizontal="right" indent="1"/>
    </xf>
    <xf numFmtId="167" fontId="5" fillId="0" borderId="2">
      <alignment horizontal="center" vertical="center"/>
    </xf>
    <xf numFmtId="165" fontId="5" fillId="0" borderId="1">
      <alignment horizontal="center" vertical="center"/>
    </xf>
    <xf numFmtId="0" fontId="5" fillId="0" borderId="1">
      <alignment horizontal="center" vertical="center"/>
    </xf>
    <xf numFmtId="0" fontId="5" fillId="0" borderId="1">
      <alignment horizontal="left" vertical="center" indent="2"/>
    </xf>
    <xf numFmtId="0" fontId="1" fillId="13" borderId="0"/>
    <xf numFmtId="0" fontId="1" fillId="14" borderId="0"/>
  </cellStyleXfs>
  <cellXfs count="125">
    <xf numFmtId="0" fontId="0" fillId="0" borderId="0" xfId="0"/>
    <xf numFmtId="0" fontId="0" fillId="0" borderId="0" xfId="0" applyAlignment="1">
      <alignment horizontal="center"/>
    </xf>
    <xf numFmtId="0" fontId="4" fillId="0" borderId="1" xfId="0" applyFont="1" applyBorder="1" applyAlignment="1">
      <alignment horizontal="center" vertical="center"/>
    </xf>
    <xf numFmtId="0" fontId="8" fillId="0" borderId="0" xfId="3"/>
    <xf numFmtId="0" fontId="5" fillId="0" borderId="0" xfId="0" applyFont="1"/>
    <xf numFmtId="164" fontId="15" fillId="12" borderId="18" xfId="0" applyNumberFormat="1" applyFont="1" applyFill="1" applyBorder="1" applyAlignment="1">
      <alignment horizontal="center" vertical="center"/>
    </xf>
    <xf numFmtId="164" fontId="15" fillId="12" borderId="16" xfId="0" applyNumberFormat="1" applyFont="1" applyFill="1" applyBorder="1" applyAlignment="1">
      <alignment horizontal="center" vertical="center"/>
    </xf>
    <xf numFmtId="164" fontId="15" fillId="12" borderId="17" xfId="0" applyNumberFormat="1" applyFont="1" applyFill="1" applyBorder="1" applyAlignment="1">
      <alignment horizontal="center" vertical="center"/>
    </xf>
    <xf numFmtId="0" fontId="16" fillId="2" borderId="15" xfId="0" applyFont="1" applyFill="1" applyBorder="1" applyAlignment="1">
      <alignment horizontal="center" vertical="center" shrinkToFit="1"/>
    </xf>
    <xf numFmtId="0" fontId="16" fillId="2" borderId="12"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5" fillId="0" borderId="3" xfId="0" applyFont="1" applyBorder="1" applyAlignment="1">
      <alignment vertical="center"/>
    </xf>
    <xf numFmtId="0" fontId="13" fillId="6" borderId="0" xfId="10" applyFont="1" applyFill="1" applyBorder="1" applyAlignment="1">
      <alignment vertical="center"/>
    </xf>
    <xf numFmtId="0" fontId="5" fillId="0" borderId="11" xfId="0" applyFont="1" applyBorder="1" applyAlignment="1">
      <alignment vertical="center"/>
    </xf>
    <xf numFmtId="0" fontId="5" fillId="0" borderId="0" xfId="0" applyFont="1" applyAlignment="1">
      <alignment vertical="center"/>
    </xf>
    <xf numFmtId="0" fontId="13" fillId="3" borderId="6" xfId="11" applyFont="1" applyFill="1" applyBorder="1">
      <alignment horizontal="left" vertical="center" indent="2"/>
    </xf>
    <xf numFmtId="0" fontId="13" fillId="3" borderId="6" xfId="10" applyFont="1" applyFill="1" applyBorder="1" applyAlignment="1">
      <alignment vertical="center"/>
    </xf>
    <xf numFmtId="9" fontId="2" fillId="3" borderId="6" xfId="2" applyFont="1" applyFill="1" applyBorder="1" applyAlignment="1">
      <alignment horizontal="center" vertical="center"/>
    </xf>
    <xf numFmtId="165" fontId="13" fillId="3" borderId="6" xfId="9" applyFont="1" applyFill="1" applyBorder="1">
      <alignment horizontal="center" vertical="center"/>
    </xf>
    <xf numFmtId="0" fontId="5" fillId="0" borderId="4" xfId="0" applyFont="1" applyBorder="1" applyAlignment="1">
      <alignment vertical="center"/>
    </xf>
    <xf numFmtId="0" fontId="13" fillId="3" borderId="7" xfId="11" applyFont="1" applyFill="1" applyBorder="1">
      <alignment horizontal="left" vertical="center" indent="2"/>
    </xf>
    <xf numFmtId="0" fontId="13" fillId="3" borderId="7" xfId="10" applyFont="1" applyFill="1" applyBorder="1" applyAlignment="1">
      <alignment vertical="center"/>
    </xf>
    <xf numFmtId="9" fontId="2" fillId="3" borderId="7" xfId="2" applyFont="1" applyFill="1" applyBorder="1" applyAlignment="1">
      <alignment horizontal="center" vertical="center"/>
    </xf>
    <xf numFmtId="165" fontId="13" fillId="3" borderId="7" xfId="9" applyFont="1" applyFill="1" applyBorder="1">
      <alignment horizontal="center" vertical="center"/>
    </xf>
    <xf numFmtId="0" fontId="5" fillId="0" borderId="4" xfId="0" applyFont="1" applyBorder="1" applyAlignment="1">
      <alignment horizontal="right" vertical="center"/>
    </xf>
    <xf numFmtId="0" fontId="13" fillId="7" borderId="0" xfId="10" applyFont="1" applyFill="1" applyBorder="1" applyAlignment="1">
      <alignment vertical="center"/>
    </xf>
    <xf numFmtId="0" fontId="13" fillId="4" borderId="5" xfId="11" applyFont="1" applyFill="1" applyBorder="1">
      <alignment horizontal="left" vertical="center" indent="2"/>
    </xf>
    <xf numFmtId="0" fontId="13" fillId="4" borderId="5" xfId="10" applyFont="1" applyFill="1" applyBorder="1" applyAlignment="1">
      <alignment vertical="center"/>
    </xf>
    <xf numFmtId="9" fontId="2" fillId="4" borderId="5" xfId="2" applyFont="1" applyFill="1" applyBorder="1" applyAlignment="1">
      <alignment horizontal="center" vertical="center"/>
    </xf>
    <xf numFmtId="165" fontId="13" fillId="4" borderId="5" xfId="9" applyFont="1" applyFill="1" applyBorder="1">
      <alignment horizontal="center" vertical="center"/>
    </xf>
    <xf numFmtId="0" fontId="13" fillId="8" borderId="0" xfId="10" applyFont="1" applyFill="1" applyBorder="1" applyAlignment="1">
      <alignment vertical="center"/>
    </xf>
    <xf numFmtId="0" fontId="13" fillId="5" borderId="8" xfId="11" applyFont="1" applyFill="1" applyBorder="1">
      <alignment horizontal="left" vertical="center" indent="2"/>
    </xf>
    <xf numFmtId="0" fontId="13" fillId="5" borderId="8" xfId="10" applyFont="1" applyFill="1" applyBorder="1" applyAlignment="1">
      <alignment vertical="center"/>
    </xf>
    <xf numFmtId="9" fontId="2" fillId="5" borderId="8" xfId="2" applyFont="1" applyFill="1" applyBorder="1" applyAlignment="1">
      <alignment horizontal="center" vertical="center"/>
    </xf>
    <xf numFmtId="165" fontId="13" fillId="5" borderId="8" xfId="9" applyFont="1" applyFill="1" applyBorder="1">
      <alignment horizontal="center" vertical="center"/>
    </xf>
    <xf numFmtId="0" fontId="13" fillId="9" borderId="0" xfId="10" applyFont="1" applyFill="1" applyBorder="1" applyAlignment="1">
      <alignment vertical="center"/>
    </xf>
    <xf numFmtId="0" fontId="5" fillId="0" borderId="10" xfId="0" applyFont="1" applyBorder="1" applyAlignment="1">
      <alignment vertical="center"/>
    </xf>
    <xf numFmtId="0" fontId="13" fillId="10" borderId="9" xfId="11" applyFont="1" applyFill="1" applyBorder="1">
      <alignment horizontal="left" vertical="center" indent="2"/>
    </xf>
    <xf numFmtId="0" fontId="13" fillId="10" borderId="9" xfId="10" applyFont="1" applyFill="1" applyBorder="1" applyAlignment="1">
      <alignment vertical="center"/>
    </xf>
    <xf numFmtId="9" fontId="2" fillId="10" borderId="9" xfId="2" applyFont="1" applyFill="1" applyBorder="1" applyAlignment="1">
      <alignment horizontal="center" vertical="center"/>
    </xf>
    <xf numFmtId="165" fontId="13" fillId="10" borderId="9" xfId="9" applyFont="1" applyFill="1" applyBorder="1">
      <alignment horizontal="center" vertical="center"/>
    </xf>
    <xf numFmtId="0" fontId="14" fillId="11" borderId="14" xfId="0" applyFont="1" applyFill="1" applyBorder="1" applyAlignment="1">
      <alignment horizontal="left" vertical="center" indent="1"/>
    </xf>
    <xf numFmtId="0" fontId="13" fillId="5" borderId="0" xfId="11" applyFont="1" applyFill="1" applyBorder="1">
      <alignment horizontal="left" vertical="center" indent="2"/>
    </xf>
    <xf numFmtId="0" fontId="13" fillId="5" borderId="0" xfId="10" applyFont="1" applyFill="1" applyBorder="1" applyAlignment="1">
      <alignment vertical="center"/>
    </xf>
    <xf numFmtId="165" fontId="13" fillId="5" borderId="0" xfId="9" applyFont="1" applyFill="1" applyBorder="1">
      <alignment horizontal="center" vertical="center"/>
    </xf>
    <xf numFmtId="0" fontId="1" fillId="13" borderId="4" xfId="12" applyBorder="1" applyAlignment="1">
      <alignment vertical="center"/>
    </xf>
    <xf numFmtId="0" fontId="1" fillId="14" borderId="4" xfId="13" applyBorder="1" applyAlignment="1">
      <alignment vertical="center"/>
    </xf>
    <xf numFmtId="0" fontId="1" fillId="15" borderId="4" xfId="13" applyFill="1" applyBorder="1" applyAlignment="1">
      <alignment vertical="center"/>
    </xf>
    <xf numFmtId="0" fontId="8" fillId="0" borderId="21" xfId="3" applyBorder="1" applyAlignment="1">
      <alignment wrapText="1"/>
    </xf>
    <xf numFmtId="0" fontId="19" fillId="0" borderId="22" xfId="4" applyFont="1" applyBorder="1" applyAlignment="1">
      <alignment horizontal="left"/>
    </xf>
    <xf numFmtId="0" fontId="10" fillId="0" borderId="22" xfId="0" applyFont="1" applyBorder="1"/>
    <xf numFmtId="0" fontId="9" fillId="0" borderId="22" xfId="0" applyFont="1" applyBorder="1"/>
    <xf numFmtId="0" fontId="9" fillId="0" borderId="22" xfId="0" applyFont="1" applyBorder="1" applyAlignment="1">
      <alignment horizontal="center"/>
    </xf>
    <xf numFmtId="0" fontId="9" fillId="0" borderId="22" xfId="0" applyFont="1" applyBorder="1" applyAlignment="1">
      <alignment horizontal="center" vertical="center"/>
    </xf>
    <xf numFmtId="0" fontId="0" fillId="0" borderId="22" xfId="0" applyBorder="1"/>
    <xf numFmtId="0" fontId="2" fillId="0" borderId="22" xfId="0" applyFont="1" applyBorder="1"/>
    <xf numFmtId="0" fontId="21" fillId="0" borderId="22" xfId="0" applyFont="1" applyBorder="1"/>
    <xf numFmtId="0" fontId="0" fillId="0" borderId="23" xfId="0" applyBorder="1"/>
    <xf numFmtId="0" fontId="8" fillId="0" borderId="24" xfId="3" applyBorder="1"/>
    <xf numFmtId="0" fontId="18" fillId="0" borderId="0" xfId="5" applyFont="1" applyAlignment="1">
      <alignment horizontal="left" vertical="center" indent="1"/>
    </xf>
    <xf numFmtId="0" fontId="18" fillId="0" borderId="0" xfId="6" applyFont="1" applyAlignment="1">
      <alignment horizontal="left" vertical="center" indent="1"/>
    </xf>
    <xf numFmtId="0" fontId="11" fillId="0" borderId="0" xfId="0" applyFont="1"/>
    <xf numFmtId="0" fontId="11" fillId="0" borderId="0" xfId="0" applyFont="1" applyAlignment="1">
      <alignment horizontal="center"/>
    </xf>
    <xf numFmtId="0" fontId="21" fillId="0" borderId="0" xfId="0" applyFont="1"/>
    <xf numFmtId="0" fontId="0" fillId="0" borderId="25" xfId="0" applyBorder="1"/>
    <xf numFmtId="0" fontId="2" fillId="0" borderId="0" xfId="1" applyFont="1" applyAlignment="1" applyProtection="1">
      <alignment horizontal="left" vertical="top" indent="1"/>
    </xf>
    <xf numFmtId="0" fontId="5" fillId="0" borderId="0" xfId="0" applyFont="1" applyAlignment="1">
      <alignment horizontal="left" indent="1"/>
    </xf>
    <xf numFmtId="0" fontId="13" fillId="0" borderId="0" xfId="0" applyFont="1"/>
    <xf numFmtId="0" fontId="13" fillId="0" borderId="0" xfId="0" applyFont="1" applyAlignment="1">
      <alignment wrapText="1"/>
    </xf>
    <xf numFmtId="0" fontId="17" fillId="6" borderId="0" xfId="0" applyFont="1" applyFill="1" applyAlignment="1">
      <alignment horizontal="left" vertical="center" indent="1"/>
    </xf>
    <xf numFmtId="9" fontId="2" fillId="6" borderId="0" xfId="2" applyFont="1" applyFill="1" applyAlignment="1">
      <alignment horizontal="center" vertical="center"/>
    </xf>
    <xf numFmtId="165" fontId="13" fillId="6" borderId="0" xfId="0" applyNumberFormat="1" applyFont="1" applyFill="1" applyAlignment="1">
      <alignment horizontal="center" vertical="center"/>
    </xf>
    <xf numFmtId="165" fontId="2" fillId="6" borderId="0" xfId="0" applyNumberFormat="1" applyFont="1" applyFill="1" applyAlignment="1">
      <alignment horizontal="center" vertical="center"/>
    </xf>
    <xf numFmtId="0" fontId="17" fillId="7" borderId="0" xfId="0" applyFont="1" applyFill="1" applyAlignment="1">
      <alignment horizontal="left" vertical="center" indent="1"/>
    </xf>
    <xf numFmtId="9" fontId="2" fillId="7" borderId="0" xfId="2" applyFont="1" applyFill="1" applyAlignment="1">
      <alignment horizontal="center" vertical="center"/>
    </xf>
    <xf numFmtId="165" fontId="13" fillId="7" borderId="0" xfId="0" applyNumberFormat="1" applyFont="1" applyFill="1" applyAlignment="1">
      <alignment horizontal="center" vertical="center"/>
    </xf>
    <xf numFmtId="165" fontId="2" fillId="7" borderId="0" xfId="0" applyNumberFormat="1" applyFont="1" applyFill="1" applyAlignment="1">
      <alignment horizontal="center" vertical="center"/>
    </xf>
    <xf numFmtId="0" fontId="17" fillId="8" borderId="0" xfId="0" applyFont="1" applyFill="1" applyAlignment="1">
      <alignment horizontal="left" vertical="center" indent="1"/>
    </xf>
    <xf numFmtId="9" fontId="2" fillId="8" borderId="0" xfId="2" applyFont="1" applyFill="1" applyAlignment="1">
      <alignment horizontal="center" vertical="center"/>
    </xf>
    <xf numFmtId="165" fontId="13" fillId="8" borderId="0" xfId="0" applyNumberFormat="1" applyFont="1" applyFill="1" applyAlignment="1">
      <alignment horizontal="center" vertical="center"/>
    </xf>
    <xf numFmtId="165" fontId="2" fillId="8" borderId="0" xfId="0" applyNumberFormat="1" applyFont="1" applyFill="1" applyAlignment="1">
      <alignment horizontal="center" vertical="center"/>
    </xf>
    <xf numFmtId="0" fontId="17" fillId="9" borderId="0" xfId="0" applyFont="1" applyFill="1" applyAlignment="1">
      <alignment horizontal="left" vertical="center" indent="1"/>
    </xf>
    <xf numFmtId="9" fontId="2" fillId="9" borderId="0" xfId="2" applyFont="1" applyFill="1" applyAlignment="1">
      <alignment horizontal="center" vertical="center"/>
    </xf>
    <xf numFmtId="165" fontId="13" fillId="9" borderId="0" xfId="0" applyNumberFormat="1" applyFont="1" applyFill="1" applyAlignment="1">
      <alignment horizontal="center" vertical="center"/>
    </xf>
    <xf numFmtId="165" fontId="2" fillId="9" borderId="0" xfId="0" applyNumberFormat="1" applyFont="1" applyFill="1" applyAlignment="1">
      <alignment horizontal="center" vertical="center"/>
    </xf>
    <xf numFmtId="0" fontId="8" fillId="0" borderId="26" xfId="3" applyBorder="1"/>
    <xf numFmtId="164" fontId="15" fillId="12" borderId="29" xfId="0" applyNumberFormat="1" applyFont="1" applyFill="1" applyBorder="1" applyAlignment="1">
      <alignment horizontal="center" vertical="center"/>
    </xf>
    <xf numFmtId="0" fontId="16" fillId="2" borderId="31" xfId="0" applyFont="1" applyFill="1" applyBorder="1" applyAlignment="1">
      <alignment horizontal="center" vertical="center" shrinkToFit="1"/>
    </xf>
    <xf numFmtId="0" fontId="8" fillId="0" borderId="32" xfId="3" applyBorder="1"/>
    <xf numFmtId="0" fontId="5" fillId="0" borderId="33" xfId="0" applyFont="1" applyBorder="1"/>
    <xf numFmtId="0" fontId="5" fillId="0" borderId="34" xfId="11" applyBorder="1">
      <alignment horizontal="left" vertical="center" indent="2"/>
    </xf>
    <xf numFmtId="0" fontId="5" fillId="0" borderId="33" xfId="0" applyFont="1" applyBorder="1" applyAlignment="1">
      <alignment vertical="center"/>
    </xf>
    <xf numFmtId="0" fontId="5" fillId="0" borderId="35" xfId="0" applyFont="1" applyBorder="1" applyAlignment="1">
      <alignment vertical="center"/>
    </xf>
    <xf numFmtId="0" fontId="5" fillId="0" borderId="36" xfId="11" applyBorder="1">
      <alignment horizontal="left" vertical="center" indent="2"/>
    </xf>
    <xf numFmtId="0" fontId="13" fillId="10" borderId="37" xfId="11" applyFont="1" applyFill="1" applyBorder="1">
      <alignment horizontal="left" vertical="center" indent="2"/>
    </xf>
    <xf numFmtId="0" fontId="13" fillId="10" borderId="37" xfId="10" applyFont="1" applyFill="1" applyBorder="1" applyAlignment="1">
      <alignment vertical="center"/>
    </xf>
    <xf numFmtId="9" fontId="2" fillId="10" borderId="37" xfId="2" applyFont="1" applyFill="1" applyBorder="1" applyAlignment="1">
      <alignment horizontal="center" vertical="center"/>
    </xf>
    <xf numFmtId="165" fontId="13" fillId="10" borderId="37" xfId="9" applyFont="1" applyFill="1" applyBorder="1">
      <alignment horizontal="center" vertical="center"/>
    </xf>
    <xf numFmtId="0" fontId="4" fillId="0" borderId="38" xfId="0" applyFont="1" applyBorder="1" applyAlignment="1">
      <alignment horizontal="center" vertical="center"/>
    </xf>
    <xf numFmtId="0" fontId="5" fillId="0" borderId="39" xfId="0" applyFont="1" applyBorder="1" applyAlignment="1">
      <alignment vertical="center"/>
    </xf>
    <xf numFmtId="0" fontId="5" fillId="0" borderId="40" xfId="0" applyFont="1" applyBorder="1" applyAlignment="1">
      <alignment vertical="center"/>
    </xf>
    <xf numFmtId="0" fontId="8" fillId="0" borderId="32" xfId="3" applyBorder="1" applyAlignment="1">
      <alignment wrapText="1"/>
    </xf>
    <xf numFmtId="0" fontId="12" fillId="0" borderId="27" xfId="0" applyFont="1" applyBorder="1" applyAlignment="1">
      <alignment horizontal="left" indent="1"/>
    </xf>
    <xf numFmtId="0" fontId="18" fillId="0" borderId="27" xfId="6" applyFont="1" applyBorder="1" applyAlignment="1">
      <alignment horizontal="left" vertical="center" indent="1"/>
    </xf>
    <xf numFmtId="0" fontId="5" fillId="0" borderId="27" xfId="7" applyBorder="1">
      <alignment horizontal="right" indent="1"/>
    </xf>
    <xf numFmtId="0" fontId="5" fillId="0" borderId="27" xfId="0" applyFont="1" applyBorder="1" applyAlignment="1">
      <alignment horizontal="center"/>
    </xf>
    <xf numFmtId="0" fontId="5" fillId="0" borderId="27" xfId="0" applyFont="1" applyBorder="1"/>
    <xf numFmtId="0" fontId="5" fillId="0" borderId="43" xfId="0" applyFont="1" applyBorder="1"/>
    <xf numFmtId="0" fontId="23" fillId="0" borderId="27" xfId="0" applyFont="1" applyBorder="1" applyAlignment="1">
      <alignment horizontal="left" indent="1"/>
    </xf>
    <xf numFmtId="166" fontId="13" fillId="2" borderId="41" xfId="0" applyNumberFormat="1" applyFont="1" applyFill="1" applyBorder="1" applyAlignment="1">
      <alignment horizontal="center" vertical="center" wrapText="1"/>
    </xf>
    <xf numFmtId="0" fontId="0" fillId="0" borderId="19" xfId="0" applyBorder="1"/>
    <xf numFmtId="0" fontId="0" fillId="0" borderId="42" xfId="0" applyBorder="1"/>
    <xf numFmtId="0" fontId="0" fillId="0" borderId="20" xfId="0" applyBorder="1"/>
    <xf numFmtId="0" fontId="14" fillId="11" borderId="18" xfId="0" applyFont="1" applyFill="1" applyBorder="1" applyAlignment="1">
      <alignment horizontal="left" vertical="center" indent="1"/>
    </xf>
    <xf numFmtId="0" fontId="14" fillId="11" borderId="28" xfId="0" applyFont="1" applyFill="1" applyBorder="1" applyAlignment="1">
      <alignment horizontal="left" vertical="center" indent="1"/>
    </xf>
    <xf numFmtId="0" fontId="0" fillId="0" borderId="30" xfId="0" applyBorder="1"/>
    <xf numFmtId="0" fontId="14" fillId="11" borderId="18" xfId="0" applyFont="1" applyFill="1" applyBorder="1" applyAlignment="1">
      <alignment horizontal="center" vertical="center"/>
    </xf>
    <xf numFmtId="0" fontId="20" fillId="0" borderId="22" xfId="7" applyFont="1" applyBorder="1" applyAlignment="1">
      <alignment horizontal="left"/>
    </xf>
    <xf numFmtId="0" fontId="0" fillId="0" borderId="22" xfId="0" applyBorder="1"/>
    <xf numFmtId="166" fontId="13" fillId="2" borderId="20" xfId="0" applyNumberFormat="1" applyFont="1" applyFill="1" applyBorder="1" applyAlignment="1">
      <alignment horizontal="center" vertical="center" wrapText="1"/>
    </xf>
    <xf numFmtId="0" fontId="14" fillId="11" borderId="18" xfId="0" applyFont="1" applyFill="1" applyBorder="1" applyAlignment="1">
      <alignment vertical="center"/>
    </xf>
    <xf numFmtId="0" fontId="20" fillId="0" borderId="0" xfId="7" applyFont="1" applyAlignment="1">
      <alignment horizontal="left"/>
    </xf>
    <xf numFmtId="0" fontId="0" fillId="0" borderId="0" xfId="0"/>
    <xf numFmtId="0" fontId="22" fillId="0" borderId="0" xfId="0" applyFont="1" applyAlignment="1">
      <alignment horizontal="left"/>
    </xf>
    <xf numFmtId="167" fontId="22" fillId="0" borderId="22" xfId="8" applyFont="1" applyBorder="1" applyAlignment="1">
      <alignment horizontal="left"/>
    </xf>
  </cellXfs>
  <cellStyles count="14">
    <cellStyle name="20% - Accent5" xfId="13" builtinId="46"/>
    <cellStyle name="60% - Accent3" xfId="12" builtinId="40"/>
    <cellStyle name="Date" xfId="9" xr:uid="{00000000-0005-0000-0000-000009000000}"/>
    <cellStyle name="Heading 1" xfId="5" builtinId="16"/>
    <cellStyle name="Heading 2" xfId="6" builtinId="17"/>
    <cellStyle name="Heading 3" xfId="7" builtinId="18"/>
    <cellStyle name="Hyperlink" xfId="1" builtinId="8"/>
    <cellStyle name="Name" xfId="10" xr:uid="{00000000-0005-0000-0000-00000A000000}"/>
    <cellStyle name="Normal" xfId="0" builtinId="0"/>
    <cellStyle name="Percent" xfId="2" builtinId="5"/>
    <cellStyle name="Project Start" xfId="8" xr:uid="{00000000-0005-0000-0000-000008000000}"/>
    <cellStyle name="Task" xfId="11" xr:uid="{00000000-0005-0000-0000-00000B000000}"/>
    <cellStyle name="Title" xfId="4" builtinId="15"/>
    <cellStyle name="zHiddenText" xfId="3" xr:uid="{00000000-0005-0000-0000-000003000000}"/>
  </cellStyles>
  <dxfs count="21">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theme="5"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I48"/>
  <sheetViews>
    <sheetView showGridLines="0" tabSelected="1" showRuler="0" topLeftCell="A4" zoomScale="57" zoomScaleNormal="33" zoomScalePageLayoutView="70" workbookViewId="0">
      <selection activeCell="CB29" sqref="CB29"/>
    </sheetView>
  </sheetViews>
  <sheetFormatPr baseColWidth="10" defaultColWidth="8.6640625" defaultRowHeight="30" customHeight="1" x14ac:dyDescent="0.15"/>
  <cols>
    <col min="1" max="1" width="8.33203125" style="3" customWidth="1"/>
    <col min="2" max="2" width="59.5" customWidth="1"/>
    <col min="3" max="3" width="19" customWidth="1"/>
    <col min="4" max="4" width="21.1640625" customWidth="1"/>
    <col min="5" max="5" width="10.6640625" customWidth="1"/>
    <col min="6" max="6" width="10.6640625" style="1" customWidth="1"/>
    <col min="7" max="7" width="10.6640625" customWidth="1"/>
    <col min="8" max="8" width="58" customWidth="1"/>
    <col min="9" max="9" width="12.6640625" hidden="1" customWidth="1"/>
    <col min="10" max="191" width="2.33203125" customWidth="1"/>
  </cols>
  <sheetData>
    <row r="1" spans="1:191" ht="90" customHeight="1" x14ac:dyDescent="0.45">
      <c r="A1" s="48"/>
      <c r="B1" s="49" t="s">
        <v>0</v>
      </c>
      <c r="C1" s="49"/>
      <c r="D1" s="50"/>
      <c r="E1" s="51"/>
      <c r="F1" s="52"/>
      <c r="G1" s="53"/>
      <c r="H1" s="54"/>
      <c r="I1" s="55"/>
      <c r="J1" s="117" t="s">
        <v>1</v>
      </c>
      <c r="K1" s="118"/>
      <c r="L1" s="118"/>
      <c r="M1" s="118"/>
      <c r="N1" s="118"/>
      <c r="O1" s="118"/>
      <c r="P1" s="118"/>
      <c r="Q1" s="56"/>
      <c r="R1" s="124">
        <f>DATE(2025,10,1)</f>
        <v>45931</v>
      </c>
      <c r="S1" s="118"/>
      <c r="T1" s="118"/>
      <c r="U1" s="118"/>
      <c r="V1" s="118"/>
      <c r="W1" s="118"/>
      <c r="X1" s="118"/>
      <c r="Y1" s="118"/>
      <c r="Z1" s="118"/>
      <c r="AA1" s="118"/>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7"/>
    </row>
    <row r="2" spans="1:191" ht="30" customHeight="1" x14ac:dyDescent="0.4">
      <c r="A2" s="58"/>
      <c r="B2" s="59" t="s">
        <v>2</v>
      </c>
      <c r="C2" s="59"/>
      <c r="D2" s="60"/>
      <c r="E2" s="61"/>
      <c r="F2" s="62"/>
      <c r="G2" s="61"/>
      <c r="J2" s="121" t="s">
        <v>3</v>
      </c>
      <c r="K2" s="122"/>
      <c r="L2" s="122"/>
      <c r="M2" s="122"/>
      <c r="N2" s="122"/>
      <c r="O2" s="122"/>
      <c r="P2" s="122"/>
      <c r="Q2" s="63"/>
      <c r="R2" s="123">
        <v>1</v>
      </c>
      <c r="S2" s="122"/>
      <c r="T2" s="122"/>
      <c r="U2" s="122"/>
      <c r="V2" s="122"/>
      <c r="W2" s="122"/>
      <c r="X2" s="122"/>
      <c r="Y2" s="122"/>
      <c r="Z2" s="122"/>
      <c r="AA2" s="122"/>
      <c r="GI2" s="64"/>
    </row>
    <row r="3" spans="1:191" s="4" customFormat="1" ht="30" customHeight="1" thickBot="1" x14ac:dyDescent="0.3">
      <c r="A3" s="85"/>
      <c r="B3" s="108" t="s">
        <v>4</v>
      </c>
      <c r="C3" s="102"/>
      <c r="D3" s="103" t="s">
        <v>5</v>
      </c>
      <c r="E3" s="104"/>
      <c r="F3" s="105"/>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c r="FA3" s="106"/>
      <c r="FB3" s="106"/>
      <c r="FC3" s="106"/>
      <c r="FD3" s="106"/>
      <c r="FE3" s="106"/>
      <c r="FF3" s="106"/>
      <c r="FG3" s="106"/>
      <c r="FH3" s="106"/>
      <c r="FI3" s="106"/>
      <c r="FJ3" s="106"/>
      <c r="FK3" s="106"/>
      <c r="FL3" s="106"/>
      <c r="FM3" s="106"/>
      <c r="FN3" s="106"/>
      <c r="FO3" s="106"/>
      <c r="FP3" s="106"/>
      <c r="FQ3" s="106"/>
      <c r="FR3" s="106"/>
      <c r="FS3" s="106"/>
      <c r="FT3" s="106"/>
      <c r="FU3" s="106"/>
      <c r="FV3" s="106"/>
      <c r="FW3" s="106"/>
      <c r="FX3" s="106"/>
      <c r="FY3" s="106"/>
      <c r="FZ3" s="106"/>
      <c r="GA3" s="106"/>
      <c r="GB3" s="106"/>
      <c r="GC3" s="106"/>
      <c r="GD3" s="106"/>
      <c r="GE3" s="106"/>
      <c r="GF3" s="106"/>
      <c r="GG3" s="106"/>
      <c r="GH3" s="106"/>
      <c r="GI3" s="107"/>
    </row>
    <row r="4" spans="1:191" s="4" customFormat="1" ht="30" customHeight="1" x14ac:dyDescent="0.15">
      <c r="A4" s="101"/>
      <c r="B4" s="65"/>
      <c r="C4" s="65"/>
      <c r="F4" s="66"/>
      <c r="J4" s="119">
        <f>DATE(2025,10,1)</f>
        <v>45931</v>
      </c>
      <c r="K4" s="110"/>
      <c r="L4" s="110"/>
      <c r="M4" s="110"/>
      <c r="N4" s="110"/>
      <c r="O4" s="110"/>
      <c r="P4" s="110"/>
      <c r="Q4" s="110"/>
      <c r="R4" s="110"/>
      <c r="S4" s="110"/>
      <c r="T4" s="110"/>
      <c r="U4" s="110"/>
      <c r="V4" s="110"/>
      <c r="W4" s="112"/>
      <c r="X4" s="109" t="s">
        <v>6</v>
      </c>
      <c r="Y4" s="110"/>
      <c r="Z4" s="110"/>
      <c r="AA4" s="110"/>
      <c r="AB4" s="110"/>
      <c r="AC4" s="110"/>
      <c r="AD4" s="110"/>
      <c r="AE4" s="110"/>
      <c r="AF4" s="110"/>
      <c r="AG4" s="110"/>
      <c r="AH4" s="110"/>
      <c r="AI4" s="110"/>
      <c r="AJ4" s="110"/>
      <c r="AK4" s="112"/>
      <c r="AL4" s="109" t="s">
        <v>7</v>
      </c>
      <c r="AM4" s="110"/>
      <c r="AN4" s="110"/>
      <c r="AO4" s="110"/>
      <c r="AP4" s="110"/>
      <c r="AQ4" s="110"/>
      <c r="AR4" s="110"/>
      <c r="AS4" s="110"/>
      <c r="AT4" s="110"/>
      <c r="AU4" s="110"/>
      <c r="AV4" s="110"/>
      <c r="AW4" s="110"/>
      <c r="AX4" s="110"/>
      <c r="AY4" s="112"/>
      <c r="AZ4" s="109" t="s">
        <v>8</v>
      </c>
      <c r="BA4" s="110"/>
      <c r="BB4" s="110"/>
      <c r="BC4" s="110"/>
      <c r="BD4" s="110"/>
      <c r="BE4" s="110"/>
      <c r="BF4" s="110"/>
      <c r="BG4" s="110"/>
      <c r="BH4" s="110"/>
      <c r="BI4" s="110"/>
      <c r="BJ4" s="110"/>
      <c r="BK4" s="110"/>
      <c r="BL4" s="110"/>
      <c r="BM4" s="112"/>
      <c r="BN4" s="109" t="s">
        <v>9</v>
      </c>
      <c r="BO4" s="110"/>
      <c r="BP4" s="110"/>
      <c r="BQ4" s="110"/>
      <c r="BR4" s="110"/>
      <c r="BS4" s="110"/>
      <c r="BT4" s="110"/>
      <c r="BU4" s="110"/>
      <c r="BV4" s="110"/>
      <c r="BW4" s="110"/>
      <c r="BX4" s="110"/>
      <c r="BY4" s="110"/>
      <c r="BZ4" s="110"/>
      <c r="CA4" s="112"/>
      <c r="CB4" s="109" t="s">
        <v>10</v>
      </c>
      <c r="CC4" s="110"/>
      <c r="CD4" s="110"/>
      <c r="CE4" s="110"/>
      <c r="CF4" s="110"/>
      <c r="CG4" s="110"/>
      <c r="CH4" s="110"/>
      <c r="CI4" s="110"/>
      <c r="CJ4" s="110"/>
      <c r="CK4" s="110"/>
      <c r="CL4" s="110"/>
      <c r="CM4" s="110"/>
      <c r="CN4" s="110"/>
      <c r="CO4" s="112"/>
      <c r="CP4" s="109" t="s">
        <v>11</v>
      </c>
      <c r="CQ4" s="110"/>
      <c r="CR4" s="110"/>
      <c r="CS4" s="110"/>
      <c r="CT4" s="110"/>
      <c r="CU4" s="110"/>
      <c r="CV4" s="110"/>
      <c r="CW4" s="110"/>
      <c r="CX4" s="110"/>
      <c r="CY4" s="110"/>
      <c r="CZ4" s="110"/>
      <c r="DA4" s="110"/>
      <c r="DB4" s="110"/>
      <c r="DC4" s="112"/>
      <c r="DD4" s="109" t="s">
        <v>12</v>
      </c>
      <c r="DE4" s="110"/>
      <c r="DF4" s="110"/>
      <c r="DG4" s="110"/>
      <c r="DH4" s="110"/>
      <c r="DI4" s="110"/>
      <c r="DJ4" s="110"/>
      <c r="DK4" s="110"/>
      <c r="DL4" s="110"/>
      <c r="DM4" s="110"/>
      <c r="DN4" s="110"/>
      <c r="DO4" s="110"/>
      <c r="DP4" s="110"/>
      <c r="DQ4" s="112"/>
      <c r="DR4" s="109" t="s">
        <v>13</v>
      </c>
      <c r="DS4" s="110"/>
      <c r="DT4" s="110"/>
      <c r="DU4" s="110"/>
      <c r="DV4" s="110"/>
      <c r="DW4" s="110"/>
      <c r="DX4" s="110"/>
      <c r="DY4" s="110"/>
      <c r="DZ4" s="110"/>
      <c r="EA4" s="110"/>
      <c r="EB4" s="110"/>
      <c r="EC4" s="110"/>
      <c r="ED4" s="110"/>
      <c r="EE4" s="112"/>
      <c r="EF4" s="109" t="s">
        <v>14</v>
      </c>
      <c r="EG4" s="110"/>
      <c r="EH4" s="110"/>
      <c r="EI4" s="110"/>
      <c r="EJ4" s="110"/>
      <c r="EK4" s="110"/>
      <c r="EL4" s="110"/>
      <c r="EM4" s="110"/>
      <c r="EN4" s="110"/>
      <c r="EO4" s="110"/>
      <c r="EP4" s="110"/>
      <c r="EQ4" s="110"/>
      <c r="ER4" s="110"/>
      <c r="ES4" s="112"/>
      <c r="ET4" s="109" t="s">
        <v>15</v>
      </c>
      <c r="EU4" s="110"/>
      <c r="EV4" s="110"/>
      <c r="EW4" s="110"/>
      <c r="EX4" s="110"/>
      <c r="EY4" s="110"/>
      <c r="EZ4" s="110"/>
      <c r="FA4" s="110"/>
      <c r="FB4" s="110"/>
      <c r="FC4" s="110"/>
      <c r="FD4" s="110"/>
      <c r="FE4" s="110"/>
      <c r="FF4" s="110"/>
      <c r="FG4" s="112"/>
      <c r="FH4" s="109" t="s">
        <v>16</v>
      </c>
      <c r="FI4" s="110"/>
      <c r="FJ4" s="110"/>
      <c r="FK4" s="110"/>
      <c r="FL4" s="110"/>
      <c r="FM4" s="110"/>
      <c r="FN4" s="110"/>
      <c r="FO4" s="110"/>
      <c r="FP4" s="110"/>
      <c r="FQ4" s="110"/>
      <c r="FR4" s="110"/>
      <c r="FS4" s="110"/>
      <c r="FT4" s="110"/>
      <c r="FU4" s="112"/>
      <c r="FV4" s="109" t="s">
        <v>17</v>
      </c>
      <c r="FW4" s="110"/>
      <c r="FX4" s="110"/>
      <c r="FY4" s="110"/>
      <c r="FZ4" s="110"/>
      <c r="GA4" s="110"/>
      <c r="GB4" s="110"/>
      <c r="GC4" s="110"/>
      <c r="GD4" s="110"/>
      <c r="GE4" s="110"/>
      <c r="GF4" s="110"/>
      <c r="GG4" s="110"/>
      <c r="GH4" s="110"/>
      <c r="GI4" s="111"/>
    </row>
    <row r="5" spans="1:191" s="4" customFormat="1" ht="15" customHeight="1" x14ac:dyDescent="0.15">
      <c r="A5" s="114" t="s">
        <v>18</v>
      </c>
      <c r="B5" s="113" t="s">
        <v>19</v>
      </c>
      <c r="C5" s="113" t="s">
        <v>20</v>
      </c>
      <c r="D5" s="120" t="s">
        <v>21</v>
      </c>
      <c r="E5" s="116" t="s">
        <v>22</v>
      </c>
      <c r="F5" s="116" t="s">
        <v>23</v>
      </c>
      <c r="G5" s="116" t="s">
        <v>24</v>
      </c>
      <c r="H5" s="116" t="s">
        <v>25</v>
      </c>
      <c r="J5" s="5">
        <f>Project_Start-WEEKDAY(Project_Start,1)+2+7*(Display_Week-1)</f>
        <v>45929</v>
      </c>
      <c r="K5" s="5">
        <f t="shared" ref="K5:AP5" si="0">J5+1</f>
        <v>45930</v>
      </c>
      <c r="L5" s="5">
        <f t="shared" si="0"/>
        <v>45931</v>
      </c>
      <c r="M5" s="5">
        <f t="shared" si="0"/>
        <v>45932</v>
      </c>
      <c r="N5" s="5">
        <f t="shared" si="0"/>
        <v>45933</v>
      </c>
      <c r="O5" s="5">
        <f t="shared" si="0"/>
        <v>45934</v>
      </c>
      <c r="P5" s="6">
        <f t="shared" si="0"/>
        <v>45935</v>
      </c>
      <c r="Q5" s="7">
        <f t="shared" si="0"/>
        <v>45936</v>
      </c>
      <c r="R5" s="5">
        <f t="shared" si="0"/>
        <v>45937</v>
      </c>
      <c r="S5" s="5">
        <f t="shared" si="0"/>
        <v>45938</v>
      </c>
      <c r="T5" s="5">
        <f t="shared" si="0"/>
        <v>45939</v>
      </c>
      <c r="U5" s="5">
        <f t="shared" si="0"/>
        <v>45940</v>
      </c>
      <c r="V5" s="5">
        <f t="shared" si="0"/>
        <v>45941</v>
      </c>
      <c r="W5" s="6">
        <f t="shared" si="0"/>
        <v>45942</v>
      </c>
      <c r="X5" s="7">
        <f t="shared" si="0"/>
        <v>45943</v>
      </c>
      <c r="Y5" s="5">
        <f t="shared" si="0"/>
        <v>45944</v>
      </c>
      <c r="Z5" s="5">
        <f t="shared" si="0"/>
        <v>45945</v>
      </c>
      <c r="AA5" s="5">
        <f t="shared" si="0"/>
        <v>45946</v>
      </c>
      <c r="AB5" s="5">
        <f t="shared" si="0"/>
        <v>45947</v>
      </c>
      <c r="AC5" s="5">
        <f t="shared" si="0"/>
        <v>45948</v>
      </c>
      <c r="AD5" s="6">
        <f t="shared" si="0"/>
        <v>45949</v>
      </c>
      <c r="AE5" s="7">
        <f t="shared" si="0"/>
        <v>45950</v>
      </c>
      <c r="AF5" s="5">
        <f t="shared" si="0"/>
        <v>45951</v>
      </c>
      <c r="AG5" s="5">
        <f t="shared" si="0"/>
        <v>45952</v>
      </c>
      <c r="AH5" s="5">
        <f t="shared" si="0"/>
        <v>45953</v>
      </c>
      <c r="AI5" s="5">
        <f t="shared" si="0"/>
        <v>45954</v>
      </c>
      <c r="AJ5" s="5">
        <f t="shared" si="0"/>
        <v>45955</v>
      </c>
      <c r="AK5" s="6">
        <f t="shared" si="0"/>
        <v>45956</v>
      </c>
      <c r="AL5" s="7">
        <f t="shared" si="0"/>
        <v>45957</v>
      </c>
      <c r="AM5" s="5">
        <f t="shared" si="0"/>
        <v>45958</v>
      </c>
      <c r="AN5" s="5">
        <f t="shared" si="0"/>
        <v>45959</v>
      </c>
      <c r="AO5" s="5">
        <f t="shared" si="0"/>
        <v>45960</v>
      </c>
      <c r="AP5" s="5">
        <f t="shared" si="0"/>
        <v>45961</v>
      </c>
      <c r="AQ5" s="5">
        <f t="shared" ref="AQ5:BV5" si="1">AP5+1</f>
        <v>45962</v>
      </c>
      <c r="AR5" s="6">
        <f t="shared" si="1"/>
        <v>45963</v>
      </c>
      <c r="AS5" s="7">
        <f t="shared" si="1"/>
        <v>45964</v>
      </c>
      <c r="AT5" s="5">
        <f t="shared" si="1"/>
        <v>45965</v>
      </c>
      <c r="AU5" s="5">
        <f t="shared" si="1"/>
        <v>45966</v>
      </c>
      <c r="AV5" s="5">
        <f t="shared" si="1"/>
        <v>45967</v>
      </c>
      <c r="AW5" s="5">
        <f t="shared" si="1"/>
        <v>45968</v>
      </c>
      <c r="AX5" s="5">
        <f t="shared" si="1"/>
        <v>45969</v>
      </c>
      <c r="AY5" s="6">
        <f t="shared" si="1"/>
        <v>45970</v>
      </c>
      <c r="AZ5" s="7">
        <f t="shared" si="1"/>
        <v>45971</v>
      </c>
      <c r="BA5" s="5">
        <f t="shared" si="1"/>
        <v>45972</v>
      </c>
      <c r="BB5" s="5">
        <f t="shared" si="1"/>
        <v>45973</v>
      </c>
      <c r="BC5" s="5">
        <f t="shared" si="1"/>
        <v>45974</v>
      </c>
      <c r="BD5" s="5">
        <f t="shared" si="1"/>
        <v>45975</v>
      </c>
      <c r="BE5" s="5">
        <f t="shared" si="1"/>
        <v>45976</v>
      </c>
      <c r="BF5" s="6">
        <f t="shared" si="1"/>
        <v>45977</v>
      </c>
      <c r="BG5" s="7">
        <f t="shared" si="1"/>
        <v>45978</v>
      </c>
      <c r="BH5" s="5">
        <f t="shared" si="1"/>
        <v>45979</v>
      </c>
      <c r="BI5" s="5">
        <f t="shared" si="1"/>
        <v>45980</v>
      </c>
      <c r="BJ5" s="5">
        <f t="shared" si="1"/>
        <v>45981</v>
      </c>
      <c r="BK5" s="5">
        <f t="shared" si="1"/>
        <v>45982</v>
      </c>
      <c r="BL5" s="5">
        <f t="shared" si="1"/>
        <v>45983</v>
      </c>
      <c r="BM5" s="5">
        <f t="shared" si="1"/>
        <v>45984</v>
      </c>
      <c r="BN5" s="5">
        <f t="shared" si="1"/>
        <v>45985</v>
      </c>
      <c r="BO5" s="5">
        <f t="shared" si="1"/>
        <v>45986</v>
      </c>
      <c r="BP5" s="5">
        <f t="shared" si="1"/>
        <v>45987</v>
      </c>
      <c r="BQ5" s="5">
        <f t="shared" si="1"/>
        <v>45988</v>
      </c>
      <c r="BR5" s="5">
        <f t="shared" si="1"/>
        <v>45989</v>
      </c>
      <c r="BS5" s="5">
        <f t="shared" si="1"/>
        <v>45990</v>
      </c>
      <c r="BT5" s="5">
        <f t="shared" si="1"/>
        <v>45991</v>
      </c>
      <c r="BU5" s="5">
        <f t="shared" si="1"/>
        <v>45992</v>
      </c>
      <c r="BV5" s="5">
        <f t="shared" si="1"/>
        <v>45993</v>
      </c>
      <c r="BW5" s="5">
        <f t="shared" ref="BW5:DB5" si="2">BV5+1</f>
        <v>45994</v>
      </c>
      <c r="BX5" s="5">
        <f t="shared" si="2"/>
        <v>45995</v>
      </c>
      <c r="BY5" s="5">
        <f t="shared" si="2"/>
        <v>45996</v>
      </c>
      <c r="BZ5" s="5">
        <f t="shared" si="2"/>
        <v>45997</v>
      </c>
      <c r="CA5" s="5">
        <f t="shared" si="2"/>
        <v>45998</v>
      </c>
      <c r="CB5" s="5">
        <f t="shared" si="2"/>
        <v>45999</v>
      </c>
      <c r="CC5" s="5">
        <f t="shared" si="2"/>
        <v>46000</v>
      </c>
      <c r="CD5" s="5">
        <f t="shared" si="2"/>
        <v>46001</v>
      </c>
      <c r="CE5" s="5">
        <f t="shared" si="2"/>
        <v>46002</v>
      </c>
      <c r="CF5" s="5">
        <f t="shared" si="2"/>
        <v>46003</v>
      </c>
      <c r="CG5" s="5">
        <f t="shared" si="2"/>
        <v>46004</v>
      </c>
      <c r="CH5" s="5">
        <f t="shared" si="2"/>
        <v>46005</v>
      </c>
      <c r="CI5" s="5">
        <f t="shared" si="2"/>
        <v>46006</v>
      </c>
      <c r="CJ5" s="5">
        <f t="shared" si="2"/>
        <v>46007</v>
      </c>
      <c r="CK5" s="5">
        <f t="shared" si="2"/>
        <v>46008</v>
      </c>
      <c r="CL5" s="5">
        <f t="shared" si="2"/>
        <v>46009</v>
      </c>
      <c r="CM5" s="5">
        <f t="shared" si="2"/>
        <v>46010</v>
      </c>
      <c r="CN5" s="5">
        <f t="shared" si="2"/>
        <v>46011</v>
      </c>
      <c r="CO5" s="5">
        <f t="shared" si="2"/>
        <v>46012</v>
      </c>
      <c r="CP5" s="5">
        <f t="shared" si="2"/>
        <v>46013</v>
      </c>
      <c r="CQ5" s="5">
        <f t="shared" si="2"/>
        <v>46014</v>
      </c>
      <c r="CR5" s="5">
        <f t="shared" si="2"/>
        <v>46015</v>
      </c>
      <c r="CS5" s="5">
        <f t="shared" si="2"/>
        <v>46016</v>
      </c>
      <c r="CT5" s="5">
        <f t="shared" si="2"/>
        <v>46017</v>
      </c>
      <c r="CU5" s="5">
        <f t="shared" si="2"/>
        <v>46018</v>
      </c>
      <c r="CV5" s="5">
        <f t="shared" si="2"/>
        <v>46019</v>
      </c>
      <c r="CW5" s="5">
        <f t="shared" si="2"/>
        <v>46020</v>
      </c>
      <c r="CX5" s="5">
        <f t="shared" si="2"/>
        <v>46021</v>
      </c>
      <c r="CY5" s="5">
        <f t="shared" si="2"/>
        <v>46022</v>
      </c>
      <c r="CZ5" s="5">
        <f t="shared" si="2"/>
        <v>46023</v>
      </c>
      <c r="DA5" s="5">
        <f t="shared" si="2"/>
        <v>46024</v>
      </c>
      <c r="DB5" s="5">
        <f t="shared" si="2"/>
        <v>46025</v>
      </c>
      <c r="DC5" s="5">
        <f t="shared" ref="DC5:EH5" si="3">DB5+1</f>
        <v>46026</v>
      </c>
      <c r="DD5" s="5">
        <f t="shared" si="3"/>
        <v>46027</v>
      </c>
      <c r="DE5" s="5">
        <f t="shared" si="3"/>
        <v>46028</v>
      </c>
      <c r="DF5" s="5">
        <f t="shared" si="3"/>
        <v>46029</v>
      </c>
      <c r="DG5" s="5">
        <f t="shared" si="3"/>
        <v>46030</v>
      </c>
      <c r="DH5" s="5">
        <f t="shared" si="3"/>
        <v>46031</v>
      </c>
      <c r="DI5" s="5">
        <f t="shared" si="3"/>
        <v>46032</v>
      </c>
      <c r="DJ5" s="5">
        <f t="shared" si="3"/>
        <v>46033</v>
      </c>
      <c r="DK5" s="5">
        <f t="shared" si="3"/>
        <v>46034</v>
      </c>
      <c r="DL5" s="5">
        <f t="shared" si="3"/>
        <v>46035</v>
      </c>
      <c r="DM5" s="5">
        <f t="shared" si="3"/>
        <v>46036</v>
      </c>
      <c r="DN5" s="5">
        <f t="shared" si="3"/>
        <v>46037</v>
      </c>
      <c r="DO5" s="5">
        <f t="shared" si="3"/>
        <v>46038</v>
      </c>
      <c r="DP5" s="5">
        <f t="shared" si="3"/>
        <v>46039</v>
      </c>
      <c r="DQ5" s="5">
        <f t="shared" si="3"/>
        <v>46040</v>
      </c>
      <c r="DR5" s="5">
        <f t="shared" si="3"/>
        <v>46041</v>
      </c>
      <c r="DS5" s="5">
        <f t="shared" si="3"/>
        <v>46042</v>
      </c>
      <c r="DT5" s="5">
        <f t="shared" si="3"/>
        <v>46043</v>
      </c>
      <c r="DU5" s="5">
        <f t="shared" si="3"/>
        <v>46044</v>
      </c>
      <c r="DV5" s="5">
        <f t="shared" si="3"/>
        <v>46045</v>
      </c>
      <c r="DW5" s="5">
        <f t="shared" si="3"/>
        <v>46046</v>
      </c>
      <c r="DX5" s="5">
        <f t="shared" si="3"/>
        <v>46047</v>
      </c>
      <c r="DY5" s="5">
        <f t="shared" si="3"/>
        <v>46048</v>
      </c>
      <c r="DZ5" s="5">
        <f t="shared" si="3"/>
        <v>46049</v>
      </c>
      <c r="EA5" s="5">
        <f t="shared" si="3"/>
        <v>46050</v>
      </c>
      <c r="EB5" s="5">
        <f t="shared" si="3"/>
        <v>46051</v>
      </c>
      <c r="EC5" s="5">
        <f t="shared" si="3"/>
        <v>46052</v>
      </c>
      <c r="ED5" s="5">
        <f t="shared" si="3"/>
        <v>46053</v>
      </c>
      <c r="EE5" s="5">
        <f t="shared" si="3"/>
        <v>46054</v>
      </c>
      <c r="EF5" s="5">
        <f t="shared" si="3"/>
        <v>46055</v>
      </c>
      <c r="EG5" s="5">
        <f t="shared" si="3"/>
        <v>46056</v>
      </c>
      <c r="EH5" s="5">
        <f t="shared" si="3"/>
        <v>46057</v>
      </c>
      <c r="EI5" s="5">
        <f t="shared" ref="EI5:FN5" si="4">EH5+1</f>
        <v>46058</v>
      </c>
      <c r="EJ5" s="5">
        <f t="shared" si="4"/>
        <v>46059</v>
      </c>
      <c r="EK5" s="5">
        <f t="shared" si="4"/>
        <v>46060</v>
      </c>
      <c r="EL5" s="5">
        <f t="shared" si="4"/>
        <v>46061</v>
      </c>
      <c r="EM5" s="5">
        <f t="shared" si="4"/>
        <v>46062</v>
      </c>
      <c r="EN5" s="5">
        <f t="shared" si="4"/>
        <v>46063</v>
      </c>
      <c r="EO5" s="5">
        <f t="shared" si="4"/>
        <v>46064</v>
      </c>
      <c r="EP5" s="5">
        <f t="shared" si="4"/>
        <v>46065</v>
      </c>
      <c r="EQ5" s="5">
        <f t="shared" si="4"/>
        <v>46066</v>
      </c>
      <c r="ER5" s="5">
        <f t="shared" si="4"/>
        <v>46067</v>
      </c>
      <c r="ES5" s="5">
        <f t="shared" si="4"/>
        <v>46068</v>
      </c>
      <c r="ET5" s="5">
        <f t="shared" si="4"/>
        <v>46069</v>
      </c>
      <c r="EU5" s="5">
        <f t="shared" si="4"/>
        <v>46070</v>
      </c>
      <c r="EV5" s="5">
        <f t="shared" si="4"/>
        <v>46071</v>
      </c>
      <c r="EW5" s="5">
        <f t="shared" si="4"/>
        <v>46072</v>
      </c>
      <c r="EX5" s="5">
        <f t="shared" si="4"/>
        <v>46073</v>
      </c>
      <c r="EY5" s="5">
        <f t="shared" si="4"/>
        <v>46074</v>
      </c>
      <c r="EZ5" s="5">
        <f t="shared" si="4"/>
        <v>46075</v>
      </c>
      <c r="FA5" s="5">
        <f t="shared" si="4"/>
        <v>46076</v>
      </c>
      <c r="FB5" s="5">
        <f t="shared" si="4"/>
        <v>46077</v>
      </c>
      <c r="FC5" s="5">
        <f t="shared" si="4"/>
        <v>46078</v>
      </c>
      <c r="FD5" s="5">
        <f t="shared" si="4"/>
        <v>46079</v>
      </c>
      <c r="FE5" s="5">
        <f t="shared" si="4"/>
        <v>46080</v>
      </c>
      <c r="FF5" s="5">
        <f t="shared" si="4"/>
        <v>46081</v>
      </c>
      <c r="FG5" s="5">
        <f t="shared" si="4"/>
        <v>46082</v>
      </c>
      <c r="FH5" s="5">
        <f t="shared" si="4"/>
        <v>46083</v>
      </c>
      <c r="FI5" s="5">
        <f t="shared" si="4"/>
        <v>46084</v>
      </c>
      <c r="FJ5" s="5">
        <f t="shared" si="4"/>
        <v>46085</v>
      </c>
      <c r="FK5" s="5">
        <f t="shared" si="4"/>
        <v>46086</v>
      </c>
      <c r="FL5" s="5">
        <f t="shared" si="4"/>
        <v>46087</v>
      </c>
      <c r="FM5" s="5">
        <f t="shared" si="4"/>
        <v>46088</v>
      </c>
      <c r="FN5" s="5">
        <f t="shared" si="4"/>
        <v>46089</v>
      </c>
      <c r="FO5" s="5">
        <f t="shared" ref="FO5:GI5" si="5">FN5+1</f>
        <v>46090</v>
      </c>
      <c r="FP5" s="5">
        <f t="shared" si="5"/>
        <v>46091</v>
      </c>
      <c r="FQ5" s="5">
        <f t="shared" si="5"/>
        <v>46092</v>
      </c>
      <c r="FR5" s="5">
        <f t="shared" si="5"/>
        <v>46093</v>
      </c>
      <c r="FS5" s="5">
        <f t="shared" si="5"/>
        <v>46094</v>
      </c>
      <c r="FT5" s="5">
        <f t="shared" si="5"/>
        <v>46095</v>
      </c>
      <c r="FU5" s="5">
        <f t="shared" si="5"/>
        <v>46096</v>
      </c>
      <c r="FV5" s="5">
        <f t="shared" si="5"/>
        <v>46097</v>
      </c>
      <c r="FW5" s="5">
        <f t="shared" si="5"/>
        <v>46098</v>
      </c>
      <c r="FX5" s="5">
        <f t="shared" si="5"/>
        <v>46099</v>
      </c>
      <c r="FY5" s="5">
        <f t="shared" si="5"/>
        <v>46100</v>
      </c>
      <c r="FZ5" s="5">
        <f t="shared" si="5"/>
        <v>46101</v>
      </c>
      <c r="GA5" s="5">
        <f t="shared" si="5"/>
        <v>46102</v>
      </c>
      <c r="GB5" s="5">
        <f t="shared" si="5"/>
        <v>46103</v>
      </c>
      <c r="GC5" s="5">
        <f t="shared" si="5"/>
        <v>46104</v>
      </c>
      <c r="GD5" s="5">
        <f t="shared" si="5"/>
        <v>46105</v>
      </c>
      <c r="GE5" s="5">
        <f t="shared" si="5"/>
        <v>46106</v>
      </c>
      <c r="GF5" s="5">
        <f t="shared" si="5"/>
        <v>46107</v>
      </c>
      <c r="GG5" s="5">
        <f t="shared" si="5"/>
        <v>46108</v>
      </c>
      <c r="GH5" s="5">
        <f t="shared" si="5"/>
        <v>46109</v>
      </c>
      <c r="GI5" s="86">
        <f t="shared" si="5"/>
        <v>46110</v>
      </c>
    </row>
    <row r="6" spans="1:191" s="4" customFormat="1" ht="15" customHeight="1" thickBot="1" x14ac:dyDescent="0.2">
      <c r="A6" s="115"/>
      <c r="B6" s="110"/>
      <c r="C6" s="110"/>
      <c r="D6" s="110"/>
      <c r="E6" s="110"/>
      <c r="F6" s="110"/>
      <c r="G6" s="110"/>
      <c r="H6" s="110"/>
      <c r="J6" s="8" t="str">
        <f t="shared" ref="J6:AO6" si="6">LEFT(TEXT(J5,"ddd"),1)</f>
        <v>M</v>
      </c>
      <c r="K6" s="9" t="str">
        <f t="shared" si="6"/>
        <v>T</v>
      </c>
      <c r="L6" s="9" t="str">
        <f t="shared" si="6"/>
        <v>W</v>
      </c>
      <c r="M6" s="9" t="str">
        <f t="shared" si="6"/>
        <v>T</v>
      </c>
      <c r="N6" s="9" t="str">
        <f t="shared" si="6"/>
        <v>F</v>
      </c>
      <c r="O6" s="9" t="str">
        <f t="shared" si="6"/>
        <v>S</v>
      </c>
      <c r="P6" s="9" t="str">
        <f t="shared" si="6"/>
        <v>S</v>
      </c>
      <c r="Q6" s="9" t="str">
        <f t="shared" si="6"/>
        <v>M</v>
      </c>
      <c r="R6" s="9" t="str">
        <f t="shared" si="6"/>
        <v>T</v>
      </c>
      <c r="S6" s="9" t="str">
        <f t="shared" si="6"/>
        <v>W</v>
      </c>
      <c r="T6" s="9" t="str">
        <f t="shared" si="6"/>
        <v>T</v>
      </c>
      <c r="U6" s="9" t="str">
        <f t="shared" si="6"/>
        <v>F</v>
      </c>
      <c r="V6" s="9" t="str">
        <f t="shared" si="6"/>
        <v>S</v>
      </c>
      <c r="W6" s="9" t="str">
        <f t="shared" si="6"/>
        <v>S</v>
      </c>
      <c r="X6" s="9" t="str">
        <f t="shared" si="6"/>
        <v>M</v>
      </c>
      <c r="Y6" s="9" t="str">
        <f t="shared" si="6"/>
        <v>T</v>
      </c>
      <c r="Z6" s="9" t="str">
        <f t="shared" si="6"/>
        <v>W</v>
      </c>
      <c r="AA6" s="9" t="str">
        <f t="shared" si="6"/>
        <v>T</v>
      </c>
      <c r="AB6" s="9" t="str">
        <f t="shared" si="6"/>
        <v>F</v>
      </c>
      <c r="AC6" s="9" t="str">
        <f t="shared" si="6"/>
        <v>S</v>
      </c>
      <c r="AD6" s="9" t="str">
        <f t="shared" si="6"/>
        <v>S</v>
      </c>
      <c r="AE6" s="9" t="str">
        <f t="shared" si="6"/>
        <v>M</v>
      </c>
      <c r="AF6" s="9" t="str">
        <f t="shared" si="6"/>
        <v>T</v>
      </c>
      <c r="AG6" s="9" t="str">
        <f t="shared" si="6"/>
        <v>W</v>
      </c>
      <c r="AH6" s="9" t="str">
        <f t="shared" si="6"/>
        <v>T</v>
      </c>
      <c r="AI6" s="9" t="str">
        <f t="shared" si="6"/>
        <v>F</v>
      </c>
      <c r="AJ6" s="9" t="str">
        <f t="shared" si="6"/>
        <v>S</v>
      </c>
      <c r="AK6" s="9" t="str">
        <f t="shared" si="6"/>
        <v>S</v>
      </c>
      <c r="AL6" s="9" t="str">
        <f t="shared" si="6"/>
        <v>M</v>
      </c>
      <c r="AM6" s="9" t="str">
        <f t="shared" si="6"/>
        <v>T</v>
      </c>
      <c r="AN6" s="9" t="str">
        <f t="shared" si="6"/>
        <v>W</v>
      </c>
      <c r="AO6" s="9" t="str">
        <f t="shared" si="6"/>
        <v>T</v>
      </c>
      <c r="AP6" s="9" t="str">
        <f t="shared" ref="AP6:BU6" si="7">LEFT(TEXT(AP5,"ddd"),1)</f>
        <v>F</v>
      </c>
      <c r="AQ6" s="9" t="str">
        <f t="shared" si="7"/>
        <v>S</v>
      </c>
      <c r="AR6" s="9" t="str">
        <f t="shared" si="7"/>
        <v>S</v>
      </c>
      <c r="AS6" s="9" t="str">
        <f t="shared" si="7"/>
        <v>M</v>
      </c>
      <c r="AT6" s="9" t="str">
        <f t="shared" si="7"/>
        <v>T</v>
      </c>
      <c r="AU6" s="9" t="str">
        <f t="shared" si="7"/>
        <v>W</v>
      </c>
      <c r="AV6" s="9" t="str">
        <f t="shared" si="7"/>
        <v>T</v>
      </c>
      <c r="AW6" s="9" t="str">
        <f t="shared" si="7"/>
        <v>F</v>
      </c>
      <c r="AX6" s="9" t="str">
        <f t="shared" si="7"/>
        <v>S</v>
      </c>
      <c r="AY6" s="9" t="str">
        <f t="shared" si="7"/>
        <v>S</v>
      </c>
      <c r="AZ6" s="9" t="str">
        <f t="shared" si="7"/>
        <v>M</v>
      </c>
      <c r="BA6" s="9" t="str">
        <f t="shared" si="7"/>
        <v>T</v>
      </c>
      <c r="BB6" s="9" t="str">
        <f t="shared" si="7"/>
        <v>W</v>
      </c>
      <c r="BC6" s="9" t="str">
        <f t="shared" si="7"/>
        <v>T</v>
      </c>
      <c r="BD6" s="9" t="str">
        <f t="shared" si="7"/>
        <v>F</v>
      </c>
      <c r="BE6" s="9" t="str">
        <f t="shared" si="7"/>
        <v>S</v>
      </c>
      <c r="BF6" s="9" t="str">
        <f t="shared" si="7"/>
        <v>S</v>
      </c>
      <c r="BG6" s="9" t="str">
        <f t="shared" si="7"/>
        <v>M</v>
      </c>
      <c r="BH6" s="9" t="str">
        <f t="shared" si="7"/>
        <v>T</v>
      </c>
      <c r="BI6" s="9" t="str">
        <f t="shared" si="7"/>
        <v>W</v>
      </c>
      <c r="BJ6" s="9" t="str">
        <f t="shared" si="7"/>
        <v>T</v>
      </c>
      <c r="BK6" s="9" t="str">
        <f t="shared" si="7"/>
        <v>F</v>
      </c>
      <c r="BL6" s="9" t="str">
        <f t="shared" si="7"/>
        <v>S</v>
      </c>
      <c r="BM6" s="10" t="str">
        <f t="shared" si="7"/>
        <v>S</v>
      </c>
      <c r="BN6" s="10" t="str">
        <f t="shared" si="7"/>
        <v>M</v>
      </c>
      <c r="BO6" s="10" t="str">
        <f t="shared" si="7"/>
        <v>T</v>
      </c>
      <c r="BP6" s="10" t="str">
        <f t="shared" si="7"/>
        <v>W</v>
      </c>
      <c r="BQ6" s="10" t="str">
        <f t="shared" si="7"/>
        <v>T</v>
      </c>
      <c r="BR6" s="10" t="str">
        <f t="shared" si="7"/>
        <v>F</v>
      </c>
      <c r="BS6" s="10" t="str">
        <f t="shared" si="7"/>
        <v>S</v>
      </c>
      <c r="BT6" s="10" t="str">
        <f t="shared" si="7"/>
        <v>S</v>
      </c>
      <c r="BU6" s="10" t="str">
        <f t="shared" si="7"/>
        <v>M</v>
      </c>
      <c r="BV6" s="10" t="str">
        <f t="shared" ref="BV6:DA6" si="8">LEFT(TEXT(BV5,"ddd"),1)</f>
        <v>T</v>
      </c>
      <c r="BW6" s="10" t="str">
        <f t="shared" si="8"/>
        <v>W</v>
      </c>
      <c r="BX6" s="10" t="str">
        <f t="shared" si="8"/>
        <v>T</v>
      </c>
      <c r="BY6" s="10" t="str">
        <f t="shared" si="8"/>
        <v>F</v>
      </c>
      <c r="BZ6" s="10" t="str">
        <f t="shared" si="8"/>
        <v>S</v>
      </c>
      <c r="CA6" s="10" t="str">
        <f t="shared" si="8"/>
        <v>S</v>
      </c>
      <c r="CB6" s="10" t="str">
        <f t="shared" si="8"/>
        <v>M</v>
      </c>
      <c r="CC6" s="10" t="str">
        <f t="shared" si="8"/>
        <v>T</v>
      </c>
      <c r="CD6" s="10" t="str">
        <f t="shared" si="8"/>
        <v>W</v>
      </c>
      <c r="CE6" s="10" t="str">
        <f t="shared" si="8"/>
        <v>T</v>
      </c>
      <c r="CF6" s="10" t="str">
        <f t="shared" si="8"/>
        <v>F</v>
      </c>
      <c r="CG6" s="10" t="str">
        <f t="shared" si="8"/>
        <v>S</v>
      </c>
      <c r="CH6" s="10" t="str">
        <f t="shared" si="8"/>
        <v>S</v>
      </c>
      <c r="CI6" s="10" t="str">
        <f t="shared" si="8"/>
        <v>M</v>
      </c>
      <c r="CJ6" s="10" t="str">
        <f t="shared" si="8"/>
        <v>T</v>
      </c>
      <c r="CK6" s="10" t="str">
        <f t="shared" si="8"/>
        <v>W</v>
      </c>
      <c r="CL6" s="10" t="str">
        <f t="shared" si="8"/>
        <v>T</v>
      </c>
      <c r="CM6" s="10" t="str">
        <f t="shared" si="8"/>
        <v>F</v>
      </c>
      <c r="CN6" s="10" t="str">
        <f t="shared" si="8"/>
        <v>S</v>
      </c>
      <c r="CO6" s="10" t="str">
        <f t="shared" si="8"/>
        <v>S</v>
      </c>
      <c r="CP6" s="10" t="str">
        <f t="shared" si="8"/>
        <v>M</v>
      </c>
      <c r="CQ6" s="10" t="str">
        <f t="shared" si="8"/>
        <v>T</v>
      </c>
      <c r="CR6" s="10" t="str">
        <f t="shared" si="8"/>
        <v>W</v>
      </c>
      <c r="CS6" s="10" t="str">
        <f t="shared" si="8"/>
        <v>T</v>
      </c>
      <c r="CT6" s="10" t="str">
        <f t="shared" si="8"/>
        <v>F</v>
      </c>
      <c r="CU6" s="10" t="str">
        <f t="shared" si="8"/>
        <v>S</v>
      </c>
      <c r="CV6" s="10" t="str">
        <f t="shared" si="8"/>
        <v>S</v>
      </c>
      <c r="CW6" s="10" t="str">
        <f t="shared" si="8"/>
        <v>M</v>
      </c>
      <c r="CX6" s="10" t="str">
        <f t="shared" si="8"/>
        <v>T</v>
      </c>
      <c r="CY6" s="10" t="str">
        <f t="shared" si="8"/>
        <v>W</v>
      </c>
      <c r="CZ6" s="10" t="str">
        <f t="shared" si="8"/>
        <v>T</v>
      </c>
      <c r="DA6" s="10" t="str">
        <f t="shared" si="8"/>
        <v>F</v>
      </c>
      <c r="DB6" s="10" t="str">
        <f t="shared" ref="DB6:EG6" si="9">LEFT(TEXT(DB5,"ddd"),1)</f>
        <v>S</v>
      </c>
      <c r="DC6" s="10" t="str">
        <f t="shared" si="9"/>
        <v>S</v>
      </c>
      <c r="DD6" s="10" t="str">
        <f t="shared" si="9"/>
        <v>M</v>
      </c>
      <c r="DE6" s="10" t="str">
        <f t="shared" si="9"/>
        <v>T</v>
      </c>
      <c r="DF6" s="10" t="str">
        <f t="shared" si="9"/>
        <v>W</v>
      </c>
      <c r="DG6" s="10" t="str">
        <f t="shared" si="9"/>
        <v>T</v>
      </c>
      <c r="DH6" s="10" t="str">
        <f t="shared" si="9"/>
        <v>F</v>
      </c>
      <c r="DI6" s="10" t="str">
        <f t="shared" si="9"/>
        <v>S</v>
      </c>
      <c r="DJ6" s="10" t="str">
        <f t="shared" si="9"/>
        <v>S</v>
      </c>
      <c r="DK6" s="10" t="str">
        <f t="shared" si="9"/>
        <v>M</v>
      </c>
      <c r="DL6" s="10" t="str">
        <f t="shared" si="9"/>
        <v>T</v>
      </c>
      <c r="DM6" s="10" t="str">
        <f t="shared" si="9"/>
        <v>W</v>
      </c>
      <c r="DN6" s="10" t="str">
        <f t="shared" si="9"/>
        <v>T</v>
      </c>
      <c r="DO6" s="10" t="str">
        <f t="shared" si="9"/>
        <v>F</v>
      </c>
      <c r="DP6" s="10" t="str">
        <f t="shared" si="9"/>
        <v>S</v>
      </c>
      <c r="DQ6" s="10" t="str">
        <f t="shared" si="9"/>
        <v>S</v>
      </c>
      <c r="DR6" s="10" t="str">
        <f t="shared" si="9"/>
        <v>M</v>
      </c>
      <c r="DS6" s="10" t="str">
        <f t="shared" si="9"/>
        <v>T</v>
      </c>
      <c r="DT6" s="10" t="str">
        <f t="shared" si="9"/>
        <v>W</v>
      </c>
      <c r="DU6" s="10" t="str">
        <f t="shared" si="9"/>
        <v>T</v>
      </c>
      <c r="DV6" s="10" t="str">
        <f t="shared" si="9"/>
        <v>F</v>
      </c>
      <c r="DW6" s="10" t="str">
        <f t="shared" si="9"/>
        <v>S</v>
      </c>
      <c r="DX6" s="10" t="str">
        <f t="shared" si="9"/>
        <v>S</v>
      </c>
      <c r="DY6" s="10" t="str">
        <f t="shared" si="9"/>
        <v>M</v>
      </c>
      <c r="DZ6" s="10" t="str">
        <f t="shared" si="9"/>
        <v>T</v>
      </c>
      <c r="EA6" s="10" t="str">
        <f t="shared" si="9"/>
        <v>W</v>
      </c>
      <c r="EB6" s="10" t="str">
        <f t="shared" si="9"/>
        <v>T</v>
      </c>
      <c r="EC6" s="10" t="str">
        <f t="shared" si="9"/>
        <v>F</v>
      </c>
      <c r="ED6" s="10" t="str">
        <f t="shared" si="9"/>
        <v>S</v>
      </c>
      <c r="EE6" s="10" t="str">
        <f t="shared" si="9"/>
        <v>S</v>
      </c>
      <c r="EF6" s="10" t="str">
        <f t="shared" si="9"/>
        <v>M</v>
      </c>
      <c r="EG6" s="10" t="str">
        <f t="shared" si="9"/>
        <v>T</v>
      </c>
      <c r="EH6" s="10" t="str">
        <f t="shared" ref="EH6:FM6" si="10">LEFT(TEXT(EH5,"ddd"),1)</f>
        <v>W</v>
      </c>
      <c r="EI6" s="10" t="str">
        <f t="shared" si="10"/>
        <v>T</v>
      </c>
      <c r="EJ6" s="10" t="str">
        <f t="shared" si="10"/>
        <v>F</v>
      </c>
      <c r="EK6" s="10" t="str">
        <f t="shared" si="10"/>
        <v>S</v>
      </c>
      <c r="EL6" s="10" t="str">
        <f t="shared" si="10"/>
        <v>S</v>
      </c>
      <c r="EM6" s="10" t="str">
        <f t="shared" si="10"/>
        <v>M</v>
      </c>
      <c r="EN6" s="10" t="str">
        <f t="shared" si="10"/>
        <v>T</v>
      </c>
      <c r="EO6" s="10" t="str">
        <f t="shared" si="10"/>
        <v>W</v>
      </c>
      <c r="EP6" s="10" t="str">
        <f t="shared" si="10"/>
        <v>T</v>
      </c>
      <c r="EQ6" s="10" t="str">
        <f t="shared" si="10"/>
        <v>F</v>
      </c>
      <c r="ER6" s="10" t="str">
        <f t="shared" si="10"/>
        <v>S</v>
      </c>
      <c r="ES6" s="10" t="str">
        <f t="shared" si="10"/>
        <v>S</v>
      </c>
      <c r="ET6" s="10" t="str">
        <f t="shared" si="10"/>
        <v>M</v>
      </c>
      <c r="EU6" s="10" t="str">
        <f t="shared" si="10"/>
        <v>T</v>
      </c>
      <c r="EV6" s="10" t="str">
        <f t="shared" si="10"/>
        <v>W</v>
      </c>
      <c r="EW6" s="10" t="str">
        <f t="shared" si="10"/>
        <v>T</v>
      </c>
      <c r="EX6" s="10" t="str">
        <f t="shared" si="10"/>
        <v>F</v>
      </c>
      <c r="EY6" s="10" t="str">
        <f t="shared" si="10"/>
        <v>S</v>
      </c>
      <c r="EZ6" s="10" t="str">
        <f t="shared" si="10"/>
        <v>S</v>
      </c>
      <c r="FA6" s="10" t="str">
        <f t="shared" si="10"/>
        <v>M</v>
      </c>
      <c r="FB6" s="10" t="str">
        <f t="shared" si="10"/>
        <v>T</v>
      </c>
      <c r="FC6" s="10" t="str">
        <f t="shared" si="10"/>
        <v>W</v>
      </c>
      <c r="FD6" s="10" t="str">
        <f t="shared" si="10"/>
        <v>T</v>
      </c>
      <c r="FE6" s="10" t="str">
        <f t="shared" si="10"/>
        <v>F</v>
      </c>
      <c r="FF6" s="10" t="str">
        <f t="shared" si="10"/>
        <v>S</v>
      </c>
      <c r="FG6" s="10" t="str">
        <f t="shared" si="10"/>
        <v>S</v>
      </c>
      <c r="FH6" s="10" t="str">
        <f t="shared" si="10"/>
        <v>M</v>
      </c>
      <c r="FI6" s="10" t="str">
        <f t="shared" si="10"/>
        <v>T</v>
      </c>
      <c r="FJ6" s="10" t="str">
        <f t="shared" si="10"/>
        <v>W</v>
      </c>
      <c r="FK6" s="10" t="str">
        <f t="shared" si="10"/>
        <v>T</v>
      </c>
      <c r="FL6" s="10" t="str">
        <f t="shared" si="10"/>
        <v>F</v>
      </c>
      <c r="FM6" s="10" t="str">
        <f t="shared" si="10"/>
        <v>S</v>
      </c>
      <c r="FN6" s="10" t="str">
        <f t="shared" ref="FN6:GI6" si="11">LEFT(TEXT(FN5,"ddd"),1)</f>
        <v>S</v>
      </c>
      <c r="FO6" s="10" t="str">
        <f t="shared" si="11"/>
        <v>M</v>
      </c>
      <c r="FP6" s="10" t="str">
        <f t="shared" si="11"/>
        <v>T</v>
      </c>
      <c r="FQ6" s="10" t="str">
        <f t="shared" si="11"/>
        <v>W</v>
      </c>
      <c r="FR6" s="10" t="str">
        <f t="shared" si="11"/>
        <v>T</v>
      </c>
      <c r="FS6" s="10" t="str">
        <f t="shared" si="11"/>
        <v>F</v>
      </c>
      <c r="FT6" s="10" t="str">
        <f t="shared" si="11"/>
        <v>S</v>
      </c>
      <c r="FU6" s="10" t="str">
        <f t="shared" si="11"/>
        <v>S</v>
      </c>
      <c r="FV6" s="10" t="str">
        <f t="shared" si="11"/>
        <v>M</v>
      </c>
      <c r="FW6" s="10" t="str">
        <f t="shared" si="11"/>
        <v>T</v>
      </c>
      <c r="FX6" s="10" t="str">
        <f t="shared" si="11"/>
        <v>W</v>
      </c>
      <c r="FY6" s="10" t="str">
        <f t="shared" si="11"/>
        <v>T</v>
      </c>
      <c r="FZ6" s="10" t="str">
        <f t="shared" si="11"/>
        <v>F</v>
      </c>
      <c r="GA6" s="10" t="str">
        <f t="shared" si="11"/>
        <v>S</v>
      </c>
      <c r="GB6" s="10" t="str">
        <f t="shared" si="11"/>
        <v>S</v>
      </c>
      <c r="GC6" s="10" t="str">
        <f t="shared" si="11"/>
        <v>M</v>
      </c>
      <c r="GD6" s="10" t="str">
        <f t="shared" si="11"/>
        <v>T</v>
      </c>
      <c r="GE6" s="10" t="str">
        <f t="shared" si="11"/>
        <v>W</v>
      </c>
      <c r="GF6" s="10" t="str">
        <f t="shared" si="11"/>
        <v>T</v>
      </c>
      <c r="GG6" s="10" t="str">
        <f t="shared" si="11"/>
        <v>F</v>
      </c>
      <c r="GH6" s="10" t="str">
        <f t="shared" si="11"/>
        <v>S</v>
      </c>
      <c r="GI6" s="87" t="str">
        <f t="shared" si="11"/>
        <v>S</v>
      </c>
    </row>
    <row r="7" spans="1:191" s="4" customFormat="1" ht="30" hidden="1" customHeight="1" thickBot="1" x14ac:dyDescent="0.2">
      <c r="A7" s="88" t="s">
        <v>26</v>
      </c>
      <c r="B7" s="67"/>
      <c r="C7" s="41"/>
      <c r="D7" s="68"/>
      <c r="E7" s="67"/>
      <c r="F7" s="67"/>
      <c r="G7" s="67"/>
      <c r="I7" s="4" t="str">
        <f t="shared" ref="I7:I16" si="12">IF(OR(ISBLANK(task_start),ISBLANK(task_end)),"",task_end-task_start+1)</f>
        <v/>
      </c>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GI7" s="89"/>
    </row>
    <row r="8" spans="1:191" s="14" customFormat="1" ht="30" customHeight="1" thickBot="1" x14ac:dyDescent="0.2">
      <c r="A8" s="90"/>
      <c r="B8" s="69" t="s">
        <v>27</v>
      </c>
      <c r="C8" s="69"/>
      <c r="D8" s="12"/>
      <c r="E8" s="70"/>
      <c r="F8" s="71"/>
      <c r="G8" s="72"/>
      <c r="H8" s="72"/>
      <c r="I8" s="2" t="str">
        <f t="shared" si="12"/>
        <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GI8" s="91"/>
    </row>
    <row r="9" spans="1:191" s="14" customFormat="1" ht="30" customHeight="1" thickBot="1" x14ac:dyDescent="0.2">
      <c r="A9" s="90" t="s">
        <v>28</v>
      </c>
      <c r="B9" s="15" t="s">
        <v>29</v>
      </c>
      <c r="C9" s="15" t="s">
        <v>30</v>
      </c>
      <c r="D9" s="16" t="s">
        <v>31</v>
      </c>
      <c r="E9" s="17">
        <v>1</v>
      </c>
      <c r="F9" s="18">
        <f>Project_Start</f>
        <v>45931</v>
      </c>
      <c r="G9" s="18">
        <f>F9+7</f>
        <v>45938</v>
      </c>
      <c r="H9" s="15" t="s">
        <v>32</v>
      </c>
      <c r="I9" s="2">
        <f t="shared" si="12"/>
        <v>8</v>
      </c>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92"/>
    </row>
    <row r="10" spans="1:191" s="14" customFormat="1" ht="30" customHeight="1" thickBot="1" x14ac:dyDescent="0.2">
      <c r="A10" s="90" t="s">
        <v>33</v>
      </c>
      <c r="B10" s="20" t="s">
        <v>34</v>
      </c>
      <c r="C10" s="20" t="s">
        <v>28</v>
      </c>
      <c r="D10" s="21" t="s">
        <v>150</v>
      </c>
      <c r="E10" s="22">
        <v>1</v>
      </c>
      <c r="F10" s="23">
        <f>G9</f>
        <v>45938</v>
      </c>
      <c r="G10" s="23">
        <f>F10+6</f>
        <v>45944</v>
      </c>
      <c r="H10" s="15" t="s">
        <v>36</v>
      </c>
      <c r="I10" s="2">
        <f t="shared" si="12"/>
        <v>7</v>
      </c>
      <c r="J10" s="19"/>
      <c r="K10" s="19"/>
      <c r="L10" s="19"/>
      <c r="M10" s="19"/>
      <c r="N10" s="19"/>
      <c r="O10" s="19"/>
      <c r="P10" s="19"/>
      <c r="Q10" s="19"/>
      <c r="R10" s="19"/>
      <c r="S10" s="19"/>
      <c r="T10" s="19"/>
      <c r="U10" s="19"/>
      <c r="V10" s="24"/>
      <c r="W10" s="24"/>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92"/>
    </row>
    <row r="11" spans="1:191" s="14" customFormat="1" ht="30" customHeight="1" thickBot="1" x14ac:dyDescent="0.2">
      <c r="A11" s="90" t="s">
        <v>37</v>
      </c>
      <c r="B11" s="20" t="s">
        <v>38</v>
      </c>
      <c r="C11" s="20" t="s">
        <v>28</v>
      </c>
      <c r="D11" s="21" t="s">
        <v>39</v>
      </c>
      <c r="E11" s="22">
        <v>1</v>
      </c>
      <c r="F11" s="23">
        <f>G10</f>
        <v>45944</v>
      </c>
      <c r="G11" s="23">
        <f>F11+6</f>
        <v>45950</v>
      </c>
      <c r="H11" s="15" t="s">
        <v>40</v>
      </c>
      <c r="I11" s="2">
        <f t="shared" si="12"/>
        <v>7</v>
      </c>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92"/>
    </row>
    <row r="12" spans="1:191" s="14" customFormat="1" ht="30" customHeight="1" thickBot="1" x14ac:dyDescent="0.2">
      <c r="A12" s="90" t="s">
        <v>41</v>
      </c>
      <c r="B12" s="20" t="s">
        <v>42</v>
      </c>
      <c r="C12" s="20" t="s">
        <v>28</v>
      </c>
      <c r="D12" s="21" t="s">
        <v>43</v>
      </c>
      <c r="E12" s="22">
        <v>1</v>
      </c>
      <c r="F12" s="23">
        <f>G11</f>
        <v>45950</v>
      </c>
      <c r="G12" s="23">
        <f>F12+7</f>
        <v>45957</v>
      </c>
      <c r="H12" s="15" t="s">
        <v>44</v>
      </c>
      <c r="I12" s="2">
        <f t="shared" si="12"/>
        <v>8</v>
      </c>
      <c r="J12" s="19"/>
      <c r="K12" s="19"/>
      <c r="L12" s="19"/>
      <c r="M12" s="19"/>
      <c r="N12" s="19"/>
      <c r="O12" s="19"/>
      <c r="P12" s="19"/>
      <c r="Q12" s="19"/>
      <c r="R12" s="19"/>
      <c r="S12" s="19"/>
      <c r="T12" s="19"/>
      <c r="U12" s="19"/>
      <c r="V12" s="19"/>
      <c r="W12" s="19"/>
      <c r="X12" s="19"/>
      <c r="Y12" s="19"/>
      <c r="Z12" s="24"/>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92"/>
    </row>
    <row r="13" spans="1:191" s="14" customFormat="1" ht="30" customHeight="1" thickBot="1" x14ac:dyDescent="0.2">
      <c r="A13" s="90"/>
      <c r="B13" s="73" t="s">
        <v>45</v>
      </c>
      <c r="C13" s="73"/>
      <c r="D13" s="25"/>
      <c r="E13" s="74"/>
      <c r="F13" s="75"/>
      <c r="G13" s="76"/>
      <c r="H13" s="76"/>
      <c r="I13" s="2" t="str">
        <f t="shared" si="12"/>
        <v/>
      </c>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92"/>
    </row>
    <row r="14" spans="1:191" s="14" customFormat="1" ht="30" customHeight="1" thickBot="1" x14ac:dyDescent="0.2">
      <c r="A14" s="90" t="s">
        <v>46</v>
      </c>
      <c r="B14" s="26" t="s">
        <v>154</v>
      </c>
      <c r="C14" s="26" t="s">
        <v>41</v>
      </c>
      <c r="D14" s="27" t="s">
        <v>47</v>
      </c>
      <c r="E14" s="28">
        <v>1</v>
      </c>
      <c r="F14" s="29">
        <f>G12</f>
        <v>45957</v>
      </c>
      <c r="G14" s="29">
        <f>F14+30</f>
        <v>45987</v>
      </c>
      <c r="H14" s="26" t="s">
        <v>48</v>
      </c>
      <c r="I14" s="2">
        <f t="shared" si="12"/>
        <v>31</v>
      </c>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92"/>
    </row>
    <row r="15" spans="1:191" s="14" customFormat="1" ht="30" customHeight="1" thickBot="1" x14ac:dyDescent="0.2">
      <c r="A15" s="90" t="s">
        <v>49</v>
      </c>
      <c r="B15" s="26" t="s">
        <v>50</v>
      </c>
      <c r="C15" s="26" t="s">
        <v>41</v>
      </c>
      <c r="D15" s="27" t="s">
        <v>51</v>
      </c>
      <c r="E15" s="28">
        <v>1</v>
      </c>
      <c r="F15" s="29">
        <f>G12</f>
        <v>45957</v>
      </c>
      <c r="G15" s="29">
        <f>F15+35</f>
        <v>45992</v>
      </c>
      <c r="H15" s="26" t="s">
        <v>52</v>
      </c>
      <c r="I15" s="2">
        <f t="shared" si="12"/>
        <v>36</v>
      </c>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92"/>
    </row>
    <row r="16" spans="1:191" s="14" customFormat="1" ht="30" customHeight="1" thickBot="1" x14ac:dyDescent="0.2">
      <c r="A16" s="90" t="s">
        <v>53</v>
      </c>
      <c r="B16" s="26" t="s">
        <v>54</v>
      </c>
      <c r="C16" s="26" t="s">
        <v>41</v>
      </c>
      <c r="D16" s="27" t="s">
        <v>55</v>
      </c>
      <c r="E16" s="28">
        <v>1</v>
      </c>
      <c r="F16" s="29">
        <f>G12+13</f>
        <v>45970</v>
      </c>
      <c r="G16" s="29">
        <f>F16+40</f>
        <v>46010</v>
      </c>
      <c r="H16" s="26" t="s">
        <v>56</v>
      </c>
      <c r="I16" s="2">
        <f t="shared" si="12"/>
        <v>41</v>
      </c>
      <c r="J16" s="19"/>
      <c r="K16" s="19"/>
      <c r="L16" s="19"/>
      <c r="M16" s="19"/>
      <c r="N16" s="19"/>
      <c r="O16" s="19"/>
      <c r="P16" s="19"/>
      <c r="Q16" s="19"/>
      <c r="R16" s="19"/>
      <c r="S16" s="19"/>
      <c r="T16" s="19"/>
      <c r="U16" s="19"/>
      <c r="V16" s="24"/>
      <c r="W16" s="24"/>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92"/>
    </row>
    <row r="17" spans="1:191" s="14" customFormat="1" ht="30" customHeight="1" thickBot="1" x14ac:dyDescent="0.2">
      <c r="A17" s="90" t="s">
        <v>57</v>
      </c>
      <c r="B17" s="26" t="s">
        <v>58</v>
      </c>
      <c r="C17" s="26" t="s">
        <v>41</v>
      </c>
      <c r="D17" s="27" t="s">
        <v>35</v>
      </c>
      <c r="E17" s="28">
        <v>1</v>
      </c>
      <c r="F17" s="29">
        <f>G14</f>
        <v>45987</v>
      </c>
      <c r="G17" s="29">
        <f>G14+10</f>
        <v>45997</v>
      </c>
      <c r="H17" s="26" t="s">
        <v>59</v>
      </c>
      <c r="I17" s="2"/>
      <c r="J17" s="19"/>
      <c r="K17" s="19"/>
      <c r="L17" s="19"/>
      <c r="M17" s="19"/>
      <c r="N17" s="19"/>
      <c r="O17" s="19"/>
      <c r="P17" s="19"/>
      <c r="Q17" s="19"/>
      <c r="R17" s="19"/>
      <c r="S17" s="19"/>
      <c r="T17" s="19"/>
      <c r="U17" s="19"/>
      <c r="V17" s="24"/>
      <c r="W17" s="24"/>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92"/>
    </row>
    <row r="18" spans="1:191" s="14" customFormat="1" ht="30" customHeight="1" thickBot="1" x14ac:dyDescent="0.2">
      <c r="A18" s="90" t="s">
        <v>60</v>
      </c>
      <c r="B18" s="26" t="s">
        <v>61</v>
      </c>
      <c r="C18" s="26" t="s">
        <v>41</v>
      </c>
      <c r="D18" s="27" t="s">
        <v>51</v>
      </c>
      <c r="E18" s="28">
        <v>1</v>
      </c>
      <c r="F18" s="29">
        <f>G16+10</f>
        <v>46020</v>
      </c>
      <c r="G18" s="29">
        <f>F18+20</f>
        <v>46040</v>
      </c>
      <c r="H18" s="26" t="s">
        <v>62</v>
      </c>
      <c r="I18" s="2">
        <f t="shared" ref="I18:I23" si="13">IF(OR(ISBLANK(task_start),ISBLANK(task_end)),"",task_end-task_start+1)</f>
        <v>21</v>
      </c>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92"/>
    </row>
    <row r="19" spans="1:191" s="14" customFormat="1" ht="30" customHeight="1" thickBot="1" x14ac:dyDescent="0.2">
      <c r="A19" s="90"/>
      <c r="B19" s="77" t="s">
        <v>63</v>
      </c>
      <c r="C19" s="77"/>
      <c r="D19" s="30"/>
      <c r="E19" s="78"/>
      <c r="F19" s="79"/>
      <c r="G19" s="80"/>
      <c r="H19" s="80"/>
      <c r="I19" s="2" t="str">
        <f t="shared" si="13"/>
        <v/>
      </c>
      <c r="J19" s="19"/>
      <c r="K19" s="19"/>
      <c r="L19" s="19"/>
      <c r="M19" s="19"/>
      <c r="N19" s="19"/>
      <c r="O19" s="19"/>
      <c r="P19" s="19"/>
      <c r="Q19" s="19"/>
      <c r="R19" s="19"/>
      <c r="S19" s="19"/>
      <c r="T19" s="19"/>
      <c r="U19" s="19"/>
      <c r="V19" s="19"/>
      <c r="W19" s="19"/>
      <c r="X19" s="19"/>
      <c r="Y19" s="19"/>
      <c r="Z19" s="24"/>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92"/>
    </row>
    <row r="20" spans="1:191" s="14" customFormat="1" ht="30" customHeight="1" thickBot="1" x14ac:dyDescent="0.2">
      <c r="A20" s="90" t="s">
        <v>64</v>
      </c>
      <c r="B20" s="31" t="s">
        <v>65</v>
      </c>
      <c r="C20" s="31" t="s">
        <v>66</v>
      </c>
      <c r="D20" s="32" t="s">
        <v>152</v>
      </c>
      <c r="E20" s="33">
        <v>1</v>
      </c>
      <c r="F20" s="34">
        <f>G14</f>
        <v>45987</v>
      </c>
      <c r="G20" s="34">
        <f>F20+30</f>
        <v>46017</v>
      </c>
      <c r="H20" s="31" t="s">
        <v>68</v>
      </c>
      <c r="I20" s="2">
        <f t="shared" si="13"/>
        <v>31</v>
      </c>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92"/>
    </row>
    <row r="21" spans="1:191" s="14" customFormat="1" ht="30" customHeight="1" thickBot="1" x14ac:dyDescent="0.2">
      <c r="A21" s="90" t="s">
        <v>69</v>
      </c>
      <c r="B21" s="31" t="s">
        <v>70</v>
      </c>
      <c r="C21" s="31" t="s">
        <v>66</v>
      </c>
      <c r="D21" s="32" t="s">
        <v>67</v>
      </c>
      <c r="E21" s="33">
        <v>1</v>
      </c>
      <c r="F21" s="34">
        <f>G20-7</f>
        <v>46010</v>
      </c>
      <c r="G21" s="34">
        <f>F21+30</f>
        <v>46040</v>
      </c>
      <c r="H21" s="31" t="s">
        <v>71</v>
      </c>
      <c r="I21" s="2">
        <f t="shared" si="13"/>
        <v>31</v>
      </c>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92"/>
    </row>
    <row r="22" spans="1:191" s="14" customFormat="1" ht="30" customHeight="1" thickBot="1" x14ac:dyDescent="0.2">
      <c r="A22" s="90" t="s">
        <v>57</v>
      </c>
      <c r="B22" s="31" t="s">
        <v>72</v>
      </c>
      <c r="C22" s="31" t="s">
        <v>73</v>
      </c>
      <c r="D22" s="32" t="s">
        <v>35</v>
      </c>
      <c r="E22" s="33">
        <v>1</v>
      </c>
      <c r="F22" s="34">
        <f>F21</f>
        <v>46010</v>
      </c>
      <c r="G22" s="34">
        <f>F22+14</f>
        <v>46024</v>
      </c>
      <c r="H22" s="31" t="s">
        <v>74</v>
      </c>
      <c r="I22" s="2">
        <f t="shared" si="13"/>
        <v>15</v>
      </c>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92"/>
    </row>
    <row r="23" spans="1:191" s="14" customFormat="1" ht="30" customHeight="1" thickBot="1" x14ac:dyDescent="0.2">
      <c r="A23" s="90" t="s">
        <v>75</v>
      </c>
      <c r="B23" s="31" t="s">
        <v>76</v>
      </c>
      <c r="C23" s="31" t="s">
        <v>73</v>
      </c>
      <c r="D23" s="32" t="s">
        <v>151</v>
      </c>
      <c r="E23" s="33">
        <v>1</v>
      </c>
      <c r="F23" s="34">
        <f>G21+5</f>
        <v>46045</v>
      </c>
      <c r="G23" s="34">
        <f>F23+10</f>
        <v>46055</v>
      </c>
      <c r="H23" s="31" t="s">
        <v>74</v>
      </c>
      <c r="I23" s="2">
        <f t="shared" si="13"/>
        <v>11</v>
      </c>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92"/>
    </row>
    <row r="24" spans="1:191" s="14" customFormat="1" ht="30" customHeight="1" thickBot="1" x14ac:dyDescent="0.2">
      <c r="A24" s="90" t="s">
        <v>77</v>
      </c>
      <c r="B24" s="31" t="s">
        <v>78</v>
      </c>
      <c r="C24" s="31" t="s">
        <v>79</v>
      </c>
      <c r="D24" s="32" t="s">
        <v>55</v>
      </c>
      <c r="E24" s="33">
        <v>1</v>
      </c>
      <c r="F24" s="34">
        <f>G23-5</f>
        <v>46050</v>
      </c>
      <c r="G24" s="34">
        <f>F24+20</f>
        <v>46070</v>
      </c>
      <c r="H24" s="31" t="s">
        <v>80</v>
      </c>
      <c r="I24" s="2"/>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45"/>
      <c r="EB24" s="45"/>
      <c r="EC24" s="45"/>
      <c r="ED24" s="45"/>
      <c r="EE24" s="45"/>
      <c r="EF24" s="45"/>
      <c r="EG24" s="45"/>
      <c r="EH24" s="45"/>
      <c r="EI24" s="45"/>
      <c r="EJ24" s="45"/>
      <c r="EK24" s="45"/>
      <c r="EL24" s="45"/>
      <c r="EM24" s="45"/>
      <c r="EN24" s="45"/>
      <c r="EO24" s="45"/>
      <c r="EP24" s="45"/>
      <c r="EQ24" s="45"/>
      <c r="ER24" s="45"/>
      <c r="ES24" s="45"/>
      <c r="ET24" s="45"/>
      <c r="EU24" s="45"/>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92"/>
    </row>
    <row r="25" spans="1:191" s="14" customFormat="1" ht="30" customHeight="1" thickBot="1" x14ac:dyDescent="0.2">
      <c r="A25" s="90" t="s">
        <v>81</v>
      </c>
      <c r="B25" s="31" t="s">
        <v>82</v>
      </c>
      <c r="C25" s="31" t="s">
        <v>83</v>
      </c>
      <c r="D25" s="32" t="s">
        <v>84</v>
      </c>
      <c r="E25" s="33">
        <v>1</v>
      </c>
      <c r="F25" s="34">
        <f>F22</f>
        <v>46010</v>
      </c>
      <c r="G25" s="34">
        <f>F25+20</f>
        <v>46030</v>
      </c>
      <c r="H25" s="31" t="s">
        <v>85</v>
      </c>
      <c r="I25" s="2">
        <f>IF(OR(ISBLANK(task_start),ISBLANK(task_end)),"",task_end-task_start+1)</f>
        <v>21</v>
      </c>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92"/>
    </row>
    <row r="26" spans="1:191" s="14" customFormat="1" ht="30" customHeight="1" thickBot="1" x14ac:dyDescent="0.2">
      <c r="A26" s="90" t="s">
        <v>86</v>
      </c>
      <c r="B26" s="42" t="s">
        <v>87</v>
      </c>
      <c r="C26" s="42" t="s">
        <v>83</v>
      </c>
      <c r="D26" s="43" t="s">
        <v>84</v>
      </c>
      <c r="E26" s="33">
        <v>1</v>
      </c>
      <c r="F26" s="44">
        <f>F22</f>
        <v>46010</v>
      </c>
      <c r="G26" s="44">
        <f>F22+7</f>
        <v>46017</v>
      </c>
      <c r="H26" s="42" t="s">
        <v>88</v>
      </c>
      <c r="I26" s="2"/>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92"/>
    </row>
    <row r="27" spans="1:191" s="14" customFormat="1" ht="30" customHeight="1" thickBot="1" x14ac:dyDescent="0.2">
      <c r="A27" s="90" t="s">
        <v>89</v>
      </c>
      <c r="B27" s="42" t="s">
        <v>90</v>
      </c>
      <c r="C27" s="42" t="s">
        <v>91</v>
      </c>
      <c r="D27" s="43" t="s">
        <v>92</v>
      </c>
      <c r="E27" s="33">
        <v>1</v>
      </c>
      <c r="F27" s="44">
        <f>F22+5</f>
        <v>46015</v>
      </c>
      <c r="G27" s="44">
        <f>F27+15</f>
        <v>46030</v>
      </c>
      <c r="H27" s="42" t="s">
        <v>93</v>
      </c>
      <c r="I27" s="2"/>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92"/>
    </row>
    <row r="28" spans="1:191" s="14" customFormat="1" ht="30" customHeight="1" thickBot="1" x14ac:dyDescent="0.2">
      <c r="A28" s="90" t="s">
        <v>94</v>
      </c>
      <c r="B28" s="42" t="s">
        <v>95</v>
      </c>
      <c r="C28" s="42" t="s">
        <v>91</v>
      </c>
      <c r="D28" s="43" t="s">
        <v>67</v>
      </c>
      <c r="E28" s="33">
        <v>1</v>
      </c>
      <c r="F28" s="44">
        <f>F22+9</f>
        <v>46019</v>
      </c>
      <c r="G28" s="44">
        <f>F28+9</f>
        <v>46028</v>
      </c>
      <c r="H28" s="42" t="s">
        <v>96</v>
      </c>
      <c r="I28" s="2"/>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92"/>
    </row>
    <row r="29" spans="1:191" s="14" customFormat="1" ht="30" customHeight="1" thickBot="1" x14ac:dyDescent="0.2">
      <c r="A29" s="90" t="s">
        <v>97</v>
      </c>
      <c r="B29" s="42" t="s">
        <v>98</v>
      </c>
      <c r="C29" s="42" t="s">
        <v>99</v>
      </c>
      <c r="D29" s="43" t="s">
        <v>100</v>
      </c>
      <c r="E29" s="33">
        <v>1</v>
      </c>
      <c r="F29" s="44">
        <f>G28-4</f>
        <v>46024</v>
      </c>
      <c r="G29" s="44">
        <f>F29+16</f>
        <v>46040</v>
      </c>
      <c r="H29" s="42" t="s">
        <v>101</v>
      </c>
      <c r="I29" s="2"/>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92"/>
    </row>
    <row r="30" spans="1:191" s="14" customFormat="1" ht="30" customHeight="1" thickBot="1" x14ac:dyDescent="0.2">
      <c r="A30" s="90" t="s">
        <v>102</v>
      </c>
      <c r="B30" s="42" t="s">
        <v>103</v>
      </c>
      <c r="C30" s="42" t="s">
        <v>83</v>
      </c>
      <c r="D30" s="43" t="s">
        <v>92</v>
      </c>
      <c r="E30" s="33">
        <v>1</v>
      </c>
      <c r="F30" s="44">
        <f>G29</f>
        <v>46040</v>
      </c>
      <c r="G30" s="44">
        <f>F30+10</f>
        <v>46050</v>
      </c>
      <c r="H30" s="42" t="s">
        <v>104</v>
      </c>
      <c r="I30" s="2"/>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92"/>
    </row>
    <row r="31" spans="1:191" s="14" customFormat="1" ht="30" customHeight="1" thickBot="1" x14ac:dyDescent="0.2">
      <c r="A31" s="90" t="s">
        <v>105</v>
      </c>
      <c r="B31" s="42" t="s">
        <v>106</v>
      </c>
      <c r="C31" s="42" t="s">
        <v>107</v>
      </c>
      <c r="D31" s="43" t="s">
        <v>92</v>
      </c>
      <c r="E31" s="33">
        <v>1</v>
      </c>
      <c r="F31" s="44">
        <f>G29+2</f>
        <v>46042</v>
      </c>
      <c r="G31" s="44">
        <f>F31+10</f>
        <v>46052</v>
      </c>
      <c r="H31" s="42" t="s">
        <v>108</v>
      </c>
      <c r="I31" s="2"/>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92"/>
    </row>
    <row r="32" spans="1:191" s="14" customFormat="1" ht="30" customHeight="1" thickBot="1" x14ac:dyDescent="0.2">
      <c r="A32" s="90" t="s">
        <v>109</v>
      </c>
      <c r="B32" s="42" t="s">
        <v>110</v>
      </c>
      <c r="C32" s="42" t="s">
        <v>107</v>
      </c>
      <c r="D32" s="43" t="s">
        <v>111</v>
      </c>
      <c r="E32" s="33">
        <v>1</v>
      </c>
      <c r="F32" s="44">
        <f>F31+20</f>
        <v>46062</v>
      </c>
      <c r="G32" s="44">
        <f>F32+14</f>
        <v>46076</v>
      </c>
      <c r="H32" s="42" t="s">
        <v>112</v>
      </c>
      <c r="I32" s="2"/>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92"/>
    </row>
    <row r="33" spans="1:191" s="14" customFormat="1" ht="30" customHeight="1" thickBot="1" x14ac:dyDescent="0.2">
      <c r="A33" s="90" t="s">
        <v>113</v>
      </c>
      <c r="B33" s="42" t="s">
        <v>114</v>
      </c>
      <c r="C33" s="42" t="s">
        <v>115</v>
      </c>
      <c r="D33" s="43" t="s">
        <v>111</v>
      </c>
      <c r="E33" s="33">
        <v>1</v>
      </c>
      <c r="F33" s="44">
        <f>F32</f>
        <v>46062</v>
      </c>
      <c r="G33" s="44">
        <f>F33+16</f>
        <v>46078</v>
      </c>
      <c r="H33" s="42" t="s">
        <v>116</v>
      </c>
      <c r="I33" s="2"/>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92"/>
    </row>
    <row r="34" spans="1:191" s="14" customFormat="1" ht="30" customHeight="1" thickBot="1" x14ac:dyDescent="0.2">
      <c r="A34" s="90" t="s">
        <v>117</v>
      </c>
      <c r="B34" s="42" t="s">
        <v>118</v>
      </c>
      <c r="C34" s="42" t="s">
        <v>119</v>
      </c>
      <c r="D34" s="43" t="s">
        <v>153</v>
      </c>
      <c r="E34" s="33">
        <v>1</v>
      </c>
      <c r="F34" s="44">
        <f>F33+14</f>
        <v>46076</v>
      </c>
      <c r="G34" s="44">
        <f>F34+14</f>
        <v>46090</v>
      </c>
      <c r="H34" s="42" t="s">
        <v>120</v>
      </c>
      <c r="I34" s="2"/>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92"/>
    </row>
    <row r="35" spans="1:191" s="14" customFormat="1" ht="30" customHeight="1" thickBot="1" x14ac:dyDescent="0.2">
      <c r="A35" s="90" t="s">
        <v>121</v>
      </c>
      <c r="B35" s="42" t="s">
        <v>122</v>
      </c>
      <c r="C35" s="42" t="s">
        <v>123</v>
      </c>
      <c r="D35" s="43" t="s">
        <v>47</v>
      </c>
      <c r="E35" s="33">
        <v>1</v>
      </c>
      <c r="F35" s="44">
        <f>F34+6</f>
        <v>46082</v>
      </c>
      <c r="G35" s="44">
        <f>F35+7</f>
        <v>46089</v>
      </c>
      <c r="H35" s="42" t="s">
        <v>124</v>
      </c>
      <c r="I35" s="2"/>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92"/>
    </row>
    <row r="36" spans="1:191" s="14" customFormat="1" ht="30" customHeight="1" thickBot="1" x14ac:dyDescent="0.2">
      <c r="A36" s="90" t="s">
        <v>125</v>
      </c>
      <c r="B36" s="42" t="s">
        <v>126</v>
      </c>
      <c r="C36" s="42" t="s">
        <v>127</v>
      </c>
      <c r="D36" s="43" t="s">
        <v>128</v>
      </c>
      <c r="E36" s="33">
        <v>1</v>
      </c>
      <c r="F36" s="44">
        <f>F35-2</f>
        <v>46080</v>
      </c>
      <c r="G36" s="44">
        <f>F36+8</f>
        <v>46088</v>
      </c>
      <c r="H36" s="42" t="s">
        <v>129</v>
      </c>
      <c r="I36" s="2"/>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92"/>
    </row>
    <row r="37" spans="1:191" s="14" customFormat="1" ht="30" customHeight="1" thickBot="1" x14ac:dyDescent="0.2">
      <c r="A37" s="90" t="s">
        <v>130</v>
      </c>
      <c r="B37" s="42" t="s">
        <v>131</v>
      </c>
      <c r="C37" s="42" t="s">
        <v>132</v>
      </c>
      <c r="D37" s="43" t="s">
        <v>31</v>
      </c>
      <c r="E37" s="33">
        <v>1</v>
      </c>
      <c r="F37" s="44">
        <f>G36+5</f>
        <v>46093</v>
      </c>
      <c r="G37" s="44">
        <f>F37+7</f>
        <v>46100</v>
      </c>
      <c r="H37" s="42" t="s">
        <v>133</v>
      </c>
      <c r="I37" s="2"/>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92"/>
    </row>
    <row r="38" spans="1:191" s="14" customFormat="1" ht="30" customHeight="1" thickBot="1" x14ac:dyDescent="0.2">
      <c r="A38" s="90"/>
      <c r="B38" s="81" t="s">
        <v>134</v>
      </c>
      <c r="C38" s="81"/>
      <c r="D38" s="35"/>
      <c r="E38" s="82"/>
      <c r="F38" s="83"/>
      <c r="G38" s="84"/>
      <c r="H38" s="84"/>
      <c r="I38" s="2" t="str">
        <f>IF(OR(ISBLANK(task_start),ISBLANK(task_end)),"",task_end-task_start+1)</f>
        <v/>
      </c>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92"/>
    </row>
    <row r="39" spans="1:191" s="14" customFormat="1" ht="30" hidden="1" customHeight="1" thickBot="1" x14ac:dyDescent="0.2">
      <c r="A39" s="90" t="s">
        <v>135</v>
      </c>
      <c r="B39" s="37" t="s">
        <v>136</v>
      </c>
      <c r="C39" s="37" t="s">
        <v>137</v>
      </c>
      <c r="D39" s="38" t="s">
        <v>31</v>
      </c>
      <c r="E39" s="39">
        <v>1</v>
      </c>
      <c r="F39" s="40">
        <v>45931</v>
      </c>
      <c r="G39" s="40">
        <v>46111</v>
      </c>
      <c r="H39" s="37" t="s">
        <v>138</v>
      </c>
      <c r="I39" s="2">
        <f>IF(OR(ISBLANK(task_start),ISBLANK(task_end)),"",task_end-task_start+1)</f>
        <v>181</v>
      </c>
      <c r="J39" s="19"/>
      <c r="K39" s="19"/>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c r="BU39" s="46"/>
      <c r="BV39" s="46"/>
      <c r="BW39" s="46"/>
      <c r="BX39" s="46"/>
      <c r="BY39" s="46"/>
      <c r="BZ39" s="46"/>
      <c r="CA39" s="46"/>
      <c r="CB39" s="46"/>
      <c r="CC39" s="46"/>
      <c r="CD39" s="46"/>
      <c r="CE39" s="46"/>
      <c r="CF39" s="46"/>
      <c r="CG39" s="46"/>
      <c r="CH39" s="46"/>
      <c r="CI39" s="46"/>
      <c r="CJ39" s="46"/>
      <c r="CK39" s="46"/>
      <c r="CL39" s="46"/>
      <c r="CM39" s="46"/>
      <c r="CN39" s="46"/>
      <c r="CO39" s="46"/>
      <c r="CP39" s="46"/>
      <c r="CQ39" s="46"/>
      <c r="CR39" s="46"/>
      <c r="CS39" s="46"/>
      <c r="CT39" s="46"/>
      <c r="CU39" s="46"/>
      <c r="CV39" s="46"/>
      <c r="CW39" s="46"/>
      <c r="CX39" s="46"/>
      <c r="CY39" s="46"/>
      <c r="CZ39" s="46"/>
      <c r="DA39" s="46"/>
      <c r="DB39" s="46"/>
      <c r="DC39" s="46"/>
      <c r="DD39" s="46"/>
      <c r="DE39" s="46"/>
      <c r="DF39" s="46"/>
      <c r="DG39" s="46"/>
      <c r="DH39" s="46"/>
      <c r="DI39" s="47"/>
      <c r="DJ39" s="46"/>
      <c r="DK39" s="46"/>
      <c r="DL39" s="46"/>
      <c r="DM39" s="46"/>
      <c r="DN39" s="46"/>
      <c r="DO39" s="46"/>
      <c r="DP39" s="46"/>
      <c r="DQ39" s="46"/>
      <c r="DR39" s="46"/>
      <c r="DS39" s="46"/>
      <c r="DT39" s="46"/>
      <c r="DU39" s="46"/>
      <c r="DV39" s="46"/>
      <c r="DW39" s="46"/>
      <c r="DX39" s="46"/>
      <c r="DY39" s="46"/>
      <c r="DZ39" s="46"/>
      <c r="EA39" s="46"/>
      <c r="EB39" s="46"/>
      <c r="EC39" s="46"/>
      <c r="ED39" s="46"/>
      <c r="EE39" s="46"/>
      <c r="EF39" s="46"/>
      <c r="EG39" s="46"/>
      <c r="EH39" s="46"/>
      <c r="EI39" s="46"/>
      <c r="EJ39" s="46"/>
      <c r="EK39" s="46"/>
      <c r="EL39" s="46"/>
      <c r="EM39" s="46"/>
      <c r="EN39" s="46"/>
      <c r="EO39" s="46"/>
      <c r="EP39" s="46"/>
      <c r="EQ39" s="46"/>
      <c r="ER39" s="46"/>
      <c r="ES39" s="46"/>
      <c r="ET39" s="46"/>
      <c r="EU39" s="46"/>
      <c r="EV39" s="46"/>
      <c r="EW39" s="46"/>
      <c r="EX39" s="46"/>
      <c r="EY39" s="46"/>
      <c r="EZ39" s="46"/>
      <c r="FA39" s="46"/>
      <c r="FB39" s="46"/>
      <c r="FC39" s="46"/>
      <c r="FD39" s="46"/>
      <c r="FE39" s="46"/>
      <c r="FF39" s="46"/>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92"/>
    </row>
    <row r="40" spans="1:191" s="14" customFormat="1" ht="30" customHeight="1" thickBot="1" x14ac:dyDescent="0.2">
      <c r="A40" s="90" t="s">
        <v>139</v>
      </c>
      <c r="B40" s="37" t="s">
        <v>140</v>
      </c>
      <c r="C40" s="37" t="s">
        <v>137</v>
      </c>
      <c r="D40" s="38" t="s">
        <v>31</v>
      </c>
      <c r="E40" s="39">
        <v>1</v>
      </c>
      <c r="F40" s="40">
        <v>45931</v>
      </c>
      <c r="G40" s="40">
        <v>46111</v>
      </c>
      <c r="H40" s="37" t="s">
        <v>141</v>
      </c>
      <c r="I40" s="2">
        <f>IF(OR(ISBLANK(task_start),ISBLANK(task_end)),"",task_end-task_start+1)</f>
        <v>181</v>
      </c>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GI40" s="91"/>
    </row>
    <row r="41" spans="1:191" s="14" customFormat="1" ht="30" customHeight="1" thickBot="1" x14ac:dyDescent="0.2">
      <c r="A41" s="90" t="s">
        <v>142</v>
      </c>
      <c r="B41" s="37" t="s">
        <v>155</v>
      </c>
      <c r="C41" s="37" t="s">
        <v>132</v>
      </c>
      <c r="D41" s="38" t="s">
        <v>156</v>
      </c>
      <c r="E41" s="39">
        <v>1</v>
      </c>
      <c r="F41" s="40">
        <v>45931</v>
      </c>
      <c r="G41" s="40">
        <v>46111</v>
      </c>
      <c r="H41" s="37" t="s">
        <v>143</v>
      </c>
      <c r="I41" s="37" t="s">
        <v>144</v>
      </c>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92"/>
    </row>
    <row r="42" spans="1:191" s="14" customFormat="1" ht="30" customHeight="1" thickBot="1" x14ac:dyDescent="0.2">
      <c r="A42" s="90" t="s">
        <v>145</v>
      </c>
      <c r="B42" s="37" t="s">
        <v>146</v>
      </c>
      <c r="C42" s="37" t="s">
        <v>132</v>
      </c>
      <c r="D42" s="38" t="s">
        <v>31</v>
      </c>
      <c r="E42" s="39">
        <v>1</v>
      </c>
      <c r="F42" s="40">
        <v>46100</v>
      </c>
      <c r="G42" s="40">
        <v>46111</v>
      </c>
      <c r="H42" s="37" t="s">
        <v>144</v>
      </c>
      <c r="I42" s="2">
        <f t="shared" ref="I42:I43" si="14">IF(OR(ISBLANK(task_start),ISBLANK(task_end)),"",task_end-task_start+1)</f>
        <v>12</v>
      </c>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92"/>
    </row>
    <row r="43" spans="1:191" s="14" customFormat="1" ht="30" customHeight="1" x14ac:dyDescent="0.15">
      <c r="A43" s="93" t="s">
        <v>147</v>
      </c>
      <c r="B43" s="94" t="s">
        <v>148</v>
      </c>
      <c r="C43" s="94" t="s">
        <v>132</v>
      </c>
      <c r="D43" s="95" t="s">
        <v>31</v>
      </c>
      <c r="E43" s="96">
        <v>1</v>
      </c>
      <c r="F43" s="97">
        <v>46100</v>
      </c>
      <c r="G43" s="97">
        <v>46111</v>
      </c>
      <c r="H43" s="94" t="s">
        <v>149</v>
      </c>
      <c r="I43" s="98">
        <f t="shared" si="14"/>
        <v>12</v>
      </c>
      <c r="J43" s="99"/>
      <c r="K43" s="99"/>
      <c r="L43" s="99"/>
      <c r="M43" s="99"/>
      <c r="N43" s="99"/>
      <c r="O43" s="99"/>
      <c r="P43" s="99"/>
      <c r="Q43" s="99"/>
      <c r="R43" s="99"/>
      <c r="S43" s="99"/>
      <c r="T43" s="99"/>
      <c r="U43" s="99"/>
      <c r="V43" s="99"/>
      <c r="W43" s="99"/>
      <c r="X43" s="99"/>
      <c r="Y43" s="99"/>
      <c r="Z43" s="99"/>
      <c r="AA43" s="99"/>
      <c r="AB43" s="99"/>
      <c r="AC43" s="99"/>
      <c r="AD43" s="99"/>
      <c r="AE43" s="99"/>
      <c r="AF43" s="99"/>
      <c r="AG43" s="99"/>
      <c r="AH43" s="99"/>
      <c r="AI43" s="99"/>
      <c r="AJ43" s="99"/>
      <c r="AK43" s="99"/>
      <c r="AL43" s="99"/>
      <c r="AM43" s="99"/>
      <c r="AN43" s="99"/>
      <c r="AO43" s="99"/>
      <c r="AP43" s="99"/>
      <c r="AQ43" s="99"/>
      <c r="AR43" s="99"/>
      <c r="AS43" s="99"/>
      <c r="AT43" s="99"/>
      <c r="AU43" s="99"/>
      <c r="AV43" s="99"/>
      <c r="AW43" s="99"/>
      <c r="AX43" s="99"/>
      <c r="AY43" s="99"/>
      <c r="AZ43" s="99"/>
      <c r="BA43" s="99"/>
      <c r="BB43" s="99"/>
      <c r="BC43" s="99"/>
      <c r="BD43" s="99"/>
      <c r="BE43" s="99"/>
      <c r="BF43" s="99"/>
      <c r="BG43" s="99"/>
      <c r="BH43" s="99"/>
      <c r="BI43" s="99"/>
      <c r="BJ43" s="99"/>
      <c r="BK43" s="99"/>
      <c r="BL43" s="99"/>
      <c r="BM43" s="99"/>
      <c r="BN43" s="99"/>
      <c r="BO43" s="99"/>
      <c r="BP43" s="99"/>
      <c r="BQ43" s="99"/>
      <c r="BR43" s="99"/>
      <c r="BS43" s="99"/>
      <c r="BT43" s="99"/>
      <c r="BU43" s="99"/>
      <c r="BV43" s="99"/>
      <c r="BW43" s="99"/>
      <c r="BX43" s="99"/>
      <c r="BY43" s="99"/>
      <c r="BZ43" s="99"/>
      <c r="CA43" s="99"/>
      <c r="CB43" s="99"/>
      <c r="CC43" s="99"/>
      <c r="CD43" s="99"/>
      <c r="CE43" s="99"/>
      <c r="CF43" s="99"/>
      <c r="CG43" s="99"/>
      <c r="CH43" s="99"/>
      <c r="CI43" s="99"/>
      <c r="CJ43" s="99"/>
      <c r="CK43" s="99"/>
      <c r="CL43" s="99"/>
      <c r="CM43" s="99"/>
      <c r="CN43" s="99"/>
      <c r="CO43" s="99"/>
      <c r="CP43" s="99"/>
      <c r="CQ43" s="99"/>
      <c r="CR43" s="99"/>
      <c r="CS43" s="99"/>
      <c r="CT43" s="99"/>
      <c r="CU43" s="99"/>
      <c r="CV43" s="99"/>
      <c r="CW43" s="99"/>
      <c r="CX43" s="99"/>
      <c r="CY43" s="99"/>
      <c r="CZ43" s="99"/>
      <c r="DA43" s="99"/>
      <c r="DB43" s="99"/>
      <c r="DC43" s="99"/>
      <c r="DD43" s="99"/>
      <c r="DE43" s="99"/>
      <c r="DF43" s="99"/>
      <c r="DG43" s="99"/>
      <c r="DH43" s="99"/>
      <c r="DI43" s="99"/>
      <c r="DJ43" s="99"/>
      <c r="DK43" s="99"/>
      <c r="DL43" s="99"/>
      <c r="DM43" s="99"/>
      <c r="DN43" s="99"/>
      <c r="DO43" s="99"/>
      <c r="DP43" s="99"/>
      <c r="DQ43" s="99"/>
      <c r="DR43" s="99"/>
      <c r="DS43" s="99"/>
      <c r="DT43" s="99"/>
      <c r="DU43" s="99"/>
      <c r="DV43" s="99"/>
      <c r="DW43" s="99"/>
      <c r="DX43" s="99"/>
      <c r="DY43" s="99"/>
      <c r="DZ43" s="99"/>
      <c r="EA43" s="99"/>
      <c r="EB43" s="99"/>
      <c r="EC43" s="99"/>
      <c r="ED43" s="99"/>
      <c r="EE43" s="99"/>
      <c r="EF43" s="99"/>
      <c r="EG43" s="99"/>
      <c r="EH43" s="99"/>
      <c r="EI43" s="99"/>
      <c r="EJ43" s="99"/>
      <c r="EK43" s="99"/>
      <c r="EL43" s="99"/>
      <c r="EM43" s="99"/>
      <c r="EN43" s="99"/>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99"/>
      <c r="FN43" s="99"/>
      <c r="FO43" s="99"/>
      <c r="FP43" s="99"/>
      <c r="FQ43" s="99"/>
      <c r="FR43" s="99"/>
      <c r="FS43" s="99"/>
      <c r="FT43" s="99"/>
      <c r="FU43" s="99"/>
      <c r="FV43" s="99"/>
      <c r="FW43" s="99"/>
      <c r="FX43" s="99"/>
      <c r="FY43" s="99"/>
      <c r="FZ43" s="99"/>
      <c r="GA43" s="99"/>
      <c r="GB43" s="99"/>
      <c r="GC43" s="99"/>
      <c r="GD43" s="99"/>
      <c r="GE43" s="99"/>
      <c r="GF43" s="99"/>
      <c r="GG43" s="99"/>
      <c r="GH43" s="99"/>
      <c r="GI43" s="100"/>
    </row>
    <row r="44" spans="1:191" s="14" customFormat="1" ht="30" customHeight="1" x14ac:dyDescent="0.15"/>
    <row r="45" spans="1:191" s="14" customFormat="1" ht="30" customHeight="1" x14ac:dyDescent="0.15"/>
    <row r="46" spans="1:191" s="14" customFormat="1" ht="30" customHeight="1" x14ac:dyDescent="0.15"/>
    <row r="47" spans="1:191" s="14" customFormat="1" ht="30" customHeight="1" x14ac:dyDescent="0.15"/>
    <row r="48" spans="1:191" ht="30" customHeight="1" x14ac:dyDescent="0.15">
      <c r="A48"/>
      <c r="F48"/>
    </row>
  </sheetData>
  <mergeCells count="25">
    <mergeCell ref="A5:A6"/>
    <mergeCell ref="G5:G6"/>
    <mergeCell ref="J1:P1"/>
    <mergeCell ref="AZ4:BM4"/>
    <mergeCell ref="J4:W4"/>
    <mergeCell ref="B5:B6"/>
    <mergeCell ref="D5:D6"/>
    <mergeCell ref="X4:AK4"/>
    <mergeCell ref="H5:H6"/>
    <mergeCell ref="J2:P2"/>
    <mergeCell ref="R2:AA2"/>
    <mergeCell ref="R1:AA1"/>
    <mergeCell ref="E5:E6"/>
    <mergeCell ref="F5:F6"/>
    <mergeCell ref="FV4:GI4"/>
    <mergeCell ref="AL4:AY4"/>
    <mergeCell ref="CB4:CO4"/>
    <mergeCell ref="EF4:ES4"/>
    <mergeCell ref="C5:C6"/>
    <mergeCell ref="FH4:FU4"/>
    <mergeCell ref="DR4:EE4"/>
    <mergeCell ref="BN4:CA4"/>
    <mergeCell ref="ET4:FG4"/>
    <mergeCell ref="CP4:DC4"/>
    <mergeCell ref="DD4:DQ4"/>
  </mergeCells>
  <conditionalFormatting sqref="E7:E43">
    <cfRule type="dataBar" priority="23">
      <dataBar>
        <cfvo type="num" val="0"/>
        <cfvo type="num" val="1"/>
        <color theme="0"/>
      </dataBar>
    </cfRule>
  </conditionalFormatting>
  <conditionalFormatting sqref="J21:J22 J15:GI20 K21:GI21">
    <cfRule type="expression" dxfId="11" priority="4">
      <formula>AND(task_start&lt;=J$5,ROUNDDOWN((task_end-task_start+1)*task_progress,0)+task_start-1&gt;=J$5)</formula>
    </cfRule>
  </conditionalFormatting>
  <conditionalFormatting sqref="J4:P4 X4:AD4 AL4:AR4 AZ4:BF4 BN4:BT4 CB4:CH4 CP4:CV4 DD4:DJ4 DR4:DX4 EF4:EL4 ET4:EZ4 FH4:FN4 FV4:GB4 BN5:GI6 J5:BM8 J9:BK9 J10:GI21 BN22:GI39 J22:BM43 BN41:GI43">
    <cfRule type="expression" dxfId="10" priority="1">
      <formula>AND(TODAY()&gt;=J$5, TODAY()&lt;K$5)</formula>
    </cfRule>
  </conditionalFormatting>
  <conditionalFormatting sqref="J9:BK9 J10:GI13 J14 L14:GI14 K14:K15">
    <cfRule type="expression" dxfId="9" priority="7" stopIfTrue="1">
      <formula>AND(task_end&gt;=J$5,task_start&lt;K$5)</formula>
    </cfRule>
  </conditionalFormatting>
  <conditionalFormatting sqref="J15:GI20 K21:GI21 J21:J22">
    <cfRule type="expression" dxfId="8" priority="5" stopIfTrue="1">
      <formula>AND(task_end&gt;=J$5,task_start&lt;K$5)</formula>
    </cfRule>
  </conditionalFormatting>
  <conditionalFormatting sqref="J22:GI39">
    <cfRule type="expression" dxfId="7" priority="2">
      <formula>AND(task_start&lt;=J$5,ROUNDDOWN((task_end-task_start+1)*task_progress,0)+task_start-1&gt;=J$5)</formula>
    </cfRule>
    <cfRule type="expression" dxfId="6" priority="3" stopIfTrue="1">
      <formula>AND(task_end&gt;=J$5,task_start&lt;K$5)</formula>
    </cfRule>
  </conditionalFormatting>
  <conditionalFormatting sqref="J41:GI43">
    <cfRule type="expression" dxfId="5" priority="36">
      <formula>AND(task_start&lt;=J$5,ROUNDDOWN((task_end-task_start+1)*task_progress,0)+task_start-1&gt;=J$5)</formula>
    </cfRule>
    <cfRule type="expression" dxfId="4" priority="37" stopIfTrue="1">
      <formula>AND(task_end&gt;=J$5,task_start&lt;K$5)</formula>
    </cfRule>
  </conditionalFormatting>
  <conditionalFormatting sqref="K14:K15 J9:BK9 J10:GI13 J14 L14:GI14">
    <cfRule type="expression" dxfId="3" priority="6">
      <formula>AND(task_start&lt;=J$5,ROUNDDOWN((task_end-task_start+1)*task_progress,0)+task_start-1&gt;=J$5)</formula>
    </cfRule>
  </conditionalFormatting>
  <conditionalFormatting sqref="BM9:GI9">
    <cfRule type="expression" dxfId="2" priority="39">
      <formula>AND(TODAY()&gt;=BL$5, TODAY()&lt;BM$5)</formula>
    </cfRule>
    <cfRule type="expression" dxfId="1" priority="42">
      <formula>AND(task_start&lt;=BL$5,ROUNDDOWN((task_end-task_start+1)*task_progress,0)+task_start-1&gt;=BL$5)</formula>
    </cfRule>
    <cfRule type="expression" dxfId="0" priority="43" stopIfTrue="1">
      <formula>AND(task_end&gt;=BL$5,task_start&lt;BM$5)</formula>
    </cfRule>
  </conditionalFormatting>
  <dataValidations count="6">
    <dataValidation type="whole" operator="greaterThanOrEqual" allowBlank="1" showInputMessage="1" promptTitle="Display Week" prompt="Changing this number will scroll the Gantt Chart view." sqref="R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 B8 contains the Phase 1 sample title. Enter a new title in cell B8._x000a_To delete the phase and work only from tasks, simply delete this row." sqref="A8:A43" xr:uid="{00000000-0002-0000-0000-000005000000}"/>
  </dataValidations>
  <printOptions horizontalCentered="1"/>
  <pageMargins left="0.35" right="0.35" top="0.35" bottom="0.5" header="0.3" footer="0.3"/>
  <pageSetup scale="57" fitToHeight="0" orientation="landscape"/>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Hammouda (Student)</cp:lastModifiedBy>
  <dcterms:created xsi:type="dcterms:W3CDTF">2026-03-09T14:16:30Z</dcterms:created>
  <dcterms:modified xsi:type="dcterms:W3CDTF">2026-04-02T10:04:48Z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