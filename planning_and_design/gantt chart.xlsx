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codeName="ThisWorkbook"/>
  <mc:AlternateContent xmlns:mc="http://schemas.openxmlformats.org/markup-compatibility/2006">
    <mc:Choice Requires="x15">
      <x15ac:absPath xmlns:x15ac="http://schemas.microsoft.com/office/spreadsheetml/2010/11/ac" url="/Users/hamouda/Desktop/"/>
    </mc:Choice>
  </mc:AlternateContent>
  <xr:revisionPtr revIDLastSave="0" documentId="13_ncr:1_{65B84A9D-F501-6C4B-B29C-C579809C2251}" xr6:coauthVersionLast="47" xr6:coauthVersionMax="47" xr10:uidLastSave="{00000000-0000-0000-0000-000000000000}"/>
  <bookViews>
    <workbookView xWindow="0" yWindow="500" windowWidth="28160" windowHeight="17500" xr2:uid="{00000000-000D-0000-FFFF-FFFF00000000}"/>
  </bookViews>
  <sheets>
    <sheet name="Project schedule" sheetId="1" r:id="rId1"/>
    <sheet name="About" sheetId="2" r:id="rId2"/>
  </sheets>
  <definedNames>
    <definedName name="Display_Week">'Project schedule'!$R$2</definedName>
    <definedName name="_xlnm.Print_Titles" localSheetId="0">'Project schedule'!$4:$6</definedName>
    <definedName name="Project_Start">'Project schedule'!$R$1</definedName>
    <definedName name="task_end" localSheetId="0">'Project schedule'!$G1</definedName>
    <definedName name="task_progress" localSheetId="0">'Project schedule'!$E1</definedName>
    <definedName name="task_start" localSheetId="0">'Project schedule'!$F1</definedName>
    <definedName name="today" localSheetId="0">TODAY()</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1" l="1"/>
  <c r="I42" i="1"/>
  <c r="I40" i="1"/>
  <c r="I39" i="1"/>
  <c r="I38" i="1"/>
  <c r="I19" i="1"/>
  <c r="I13" i="1"/>
  <c r="I8" i="1"/>
  <c r="I7" i="1"/>
  <c r="J4" i="1"/>
  <c r="R1" i="1"/>
  <c r="J5" i="1" l="1"/>
  <c r="F9" i="1"/>
  <c r="J6" i="1" l="1"/>
  <c r="K5" i="1"/>
  <c r="G9" i="1"/>
  <c r="F10" i="1" l="1"/>
  <c r="I9" i="1"/>
  <c r="L5" i="1"/>
  <c r="K6" i="1"/>
  <c r="G10" i="1"/>
  <c r="F11" i="1" s="1"/>
  <c r="I10" i="1"/>
  <c r="L6" i="1" l="1"/>
  <c r="M5" i="1"/>
  <c r="G11" i="1"/>
  <c r="F12" i="1" s="1"/>
  <c r="I11" i="1"/>
  <c r="N5" i="1" l="1"/>
  <c r="M6" i="1"/>
  <c r="G12" i="1"/>
  <c r="I12" i="1"/>
  <c r="N6" i="1" l="1"/>
  <c r="O5" i="1"/>
  <c r="F14" i="1"/>
  <c r="F15" i="1"/>
  <c r="F16" i="1"/>
  <c r="P5" i="1" l="1"/>
  <c r="O6" i="1"/>
  <c r="G14" i="1"/>
  <c r="I14" i="1"/>
  <c r="G15" i="1"/>
  <c r="I15" i="1"/>
  <c r="G16" i="1"/>
  <c r="F18" i="1" l="1"/>
  <c r="I16" i="1"/>
  <c r="Q5" i="1"/>
  <c r="P6" i="1"/>
  <c r="F17" i="1"/>
  <c r="G17" i="1"/>
  <c r="F20" i="1"/>
  <c r="G18" i="1"/>
  <c r="I18" i="1"/>
  <c r="Q6" i="1" l="1"/>
  <c r="R5" i="1"/>
  <c r="G20" i="1"/>
  <c r="F21" i="1" s="1"/>
  <c r="I20" i="1"/>
  <c r="S5" i="1" l="1"/>
  <c r="R6" i="1"/>
  <c r="G21" i="1"/>
  <c r="F23" i="1" s="1"/>
  <c r="I21" i="1"/>
  <c r="F22" i="1"/>
  <c r="S6" i="1" l="1"/>
  <c r="T5" i="1"/>
  <c r="G23" i="1"/>
  <c r="G22" i="1"/>
  <c r="I22" i="1"/>
  <c r="F25" i="1"/>
  <c r="F26" i="1"/>
  <c r="G26" i="1"/>
  <c r="F27" i="1"/>
  <c r="G27" i="1" s="1"/>
  <c r="F28" i="1"/>
  <c r="G28" i="1" s="1"/>
  <c r="F29" i="1" s="1"/>
  <c r="G29" i="1" s="1"/>
  <c r="U5" i="1" l="1"/>
  <c r="T6" i="1"/>
  <c r="G25" i="1"/>
  <c r="I25" i="1"/>
  <c r="F30" i="1"/>
  <c r="G30" i="1" s="1"/>
  <c r="F31" i="1"/>
  <c r="F24" i="1"/>
  <c r="G24" i="1" s="1"/>
  <c r="I23" i="1"/>
  <c r="V5" i="1" l="1"/>
  <c r="U6" i="1"/>
  <c r="G31" i="1"/>
  <c r="F32" i="1"/>
  <c r="W5" i="1" l="1"/>
  <c r="V6" i="1"/>
  <c r="G32" i="1"/>
  <c r="F33" i="1"/>
  <c r="W6" i="1" l="1"/>
  <c r="X5" i="1"/>
  <c r="G33" i="1"/>
  <c r="F34" i="1"/>
  <c r="Y5" i="1" l="1"/>
  <c r="X6" i="1"/>
  <c r="G34" i="1"/>
  <c r="F35" i="1"/>
  <c r="Z5" i="1" l="1"/>
  <c r="Y6" i="1"/>
  <c r="G35" i="1"/>
  <c r="F36" i="1"/>
  <c r="G36" i="1" s="1"/>
  <c r="F37" i="1" s="1"/>
  <c r="G37" i="1" s="1"/>
  <c r="Z6" i="1" l="1"/>
  <c r="AA5" i="1"/>
  <c r="AB5" i="1" l="1"/>
  <c r="AA6" i="1"/>
  <c r="AC5" i="1" l="1"/>
  <c r="AB6" i="1"/>
  <c r="AD5" i="1" l="1"/>
  <c r="AC6" i="1"/>
  <c r="AD6" i="1" l="1"/>
  <c r="AE5" i="1"/>
  <c r="AF5" i="1" l="1"/>
  <c r="AE6" i="1"/>
  <c r="AF6" i="1" l="1"/>
  <c r="AG5" i="1"/>
  <c r="AH5" i="1" l="1"/>
  <c r="AG6" i="1"/>
  <c r="AI5" i="1" l="1"/>
  <c r="AH6" i="1"/>
  <c r="AI6" i="1" l="1"/>
  <c r="AJ5" i="1"/>
  <c r="AJ6" i="1" l="1"/>
  <c r="AK5" i="1"/>
  <c r="AL5" i="1" l="1"/>
  <c r="AK6" i="1"/>
  <c r="AM5" i="1" l="1"/>
  <c r="AL6" i="1"/>
  <c r="AM6" i="1" l="1"/>
  <c r="AN5" i="1"/>
  <c r="AO5" i="1" l="1"/>
  <c r="AN6" i="1"/>
  <c r="AP5" i="1" l="1"/>
  <c r="AO6" i="1"/>
  <c r="AP6" i="1" l="1"/>
  <c r="AQ5" i="1"/>
  <c r="AQ6" i="1" l="1"/>
  <c r="AR5" i="1"/>
  <c r="AS5" i="1" l="1"/>
  <c r="AR6" i="1"/>
  <c r="AT5" i="1" l="1"/>
  <c r="AS6" i="1"/>
  <c r="AU5" i="1" l="1"/>
  <c r="AT6" i="1"/>
  <c r="AU6" i="1" l="1"/>
  <c r="AV5" i="1"/>
  <c r="AW5" i="1" l="1"/>
  <c r="AV6" i="1"/>
  <c r="AW6" i="1" l="1"/>
  <c r="AX5" i="1"/>
  <c r="AY5" i="1" l="1"/>
  <c r="AX6" i="1"/>
  <c r="AY6" i="1" l="1"/>
  <c r="AZ5" i="1"/>
  <c r="BA5" i="1" l="1"/>
  <c r="AZ6" i="1"/>
  <c r="BB5" i="1" l="1"/>
  <c r="BA6" i="1"/>
  <c r="BC5" i="1" l="1"/>
  <c r="BB6" i="1"/>
  <c r="BD5" i="1" l="1"/>
  <c r="BC6" i="1"/>
  <c r="BE5" i="1" l="1"/>
  <c r="BD6" i="1"/>
  <c r="BE6" i="1" l="1"/>
  <c r="BF5" i="1"/>
  <c r="BG5" i="1" l="1"/>
  <c r="BF6" i="1"/>
  <c r="BH5" i="1" l="1"/>
  <c r="BG6" i="1"/>
  <c r="BI5" i="1" l="1"/>
  <c r="BH6" i="1"/>
  <c r="BJ5" i="1" l="1"/>
  <c r="BI6" i="1"/>
  <c r="BK5" i="1" l="1"/>
  <c r="BJ6" i="1"/>
  <c r="BL5" i="1" l="1"/>
  <c r="BK6" i="1"/>
  <c r="BL6" i="1" l="1"/>
  <c r="BM5" i="1"/>
  <c r="BN5" i="1" l="1"/>
  <c r="BM6" i="1"/>
  <c r="BO5" i="1" l="1"/>
  <c r="BN6" i="1"/>
  <c r="BP5" i="1" l="1"/>
  <c r="BO6" i="1"/>
  <c r="BP6" i="1" l="1"/>
  <c r="BQ5" i="1"/>
  <c r="BR5" i="1" l="1"/>
  <c r="BQ6" i="1"/>
  <c r="BS5" i="1" l="1"/>
  <c r="BR6" i="1"/>
  <c r="BT5" i="1" l="1"/>
  <c r="BS6" i="1"/>
  <c r="BU5" i="1" l="1"/>
  <c r="BT6" i="1"/>
  <c r="BV5" i="1" l="1"/>
  <c r="BU6" i="1"/>
  <c r="BV6" i="1" l="1"/>
  <c r="BW5" i="1"/>
  <c r="BX5" i="1" l="1"/>
  <c r="BW6" i="1"/>
  <c r="BY5" i="1" l="1"/>
  <c r="BX6" i="1"/>
  <c r="BY6" i="1" l="1"/>
  <c r="BZ5" i="1"/>
  <c r="CA5" i="1" l="1"/>
  <c r="BZ6" i="1"/>
  <c r="CA6" i="1" l="1"/>
  <c r="CB5" i="1"/>
  <c r="CB6" i="1" l="1"/>
  <c r="CC5" i="1"/>
  <c r="CD5" i="1" l="1"/>
  <c r="CC6" i="1"/>
  <c r="CE5" i="1" l="1"/>
  <c r="CD6" i="1"/>
  <c r="CF5" i="1" l="1"/>
  <c r="CE6" i="1"/>
  <c r="CF6" i="1" l="1"/>
  <c r="CG5" i="1"/>
  <c r="CG6" i="1" l="1"/>
  <c r="CH5" i="1"/>
  <c r="CI5" i="1" l="1"/>
  <c r="CH6" i="1"/>
  <c r="CJ5" i="1" l="1"/>
  <c r="CI6" i="1"/>
  <c r="CK5" i="1" l="1"/>
  <c r="CJ6" i="1"/>
  <c r="CL5" i="1" l="1"/>
  <c r="CK6" i="1"/>
  <c r="CM5" i="1" l="1"/>
  <c r="CL6" i="1"/>
  <c r="CN5" i="1" l="1"/>
  <c r="CM6" i="1"/>
  <c r="CN6" i="1" l="1"/>
  <c r="CO5" i="1"/>
  <c r="CP5" i="1" l="1"/>
  <c r="CO6" i="1"/>
  <c r="CP6" i="1" l="1"/>
  <c r="CQ5" i="1"/>
  <c r="CR5" i="1" l="1"/>
  <c r="CQ6" i="1"/>
  <c r="CR6" i="1" l="1"/>
  <c r="CS5" i="1"/>
  <c r="CT5" i="1" l="1"/>
  <c r="CS6" i="1"/>
  <c r="CU5" i="1" l="1"/>
  <c r="CT6" i="1"/>
  <c r="CU6" i="1" l="1"/>
  <c r="CV5" i="1"/>
  <c r="CV6" i="1" l="1"/>
  <c r="CW5" i="1"/>
  <c r="CX5" i="1" l="1"/>
  <c r="CW6" i="1"/>
  <c r="CY5" i="1" l="1"/>
  <c r="CX6" i="1"/>
  <c r="CY6" i="1" l="1"/>
  <c r="CZ5" i="1"/>
  <c r="DA5" i="1" l="1"/>
  <c r="CZ6" i="1"/>
  <c r="DA6" i="1" l="1"/>
  <c r="DB5" i="1"/>
  <c r="DC5" i="1" l="1"/>
  <c r="DB6" i="1"/>
  <c r="DC6" i="1" l="1"/>
  <c r="DD5" i="1"/>
  <c r="DE5" i="1" l="1"/>
  <c r="DD6" i="1"/>
  <c r="DE6" i="1" l="1"/>
  <c r="DF5" i="1"/>
  <c r="DG5" i="1" l="1"/>
  <c r="DF6" i="1"/>
  <c r="DH5" i="1" l="1"/>
  <c r="DG6" i="1"/>
  <c r="DH6" i="1" l="1"/>
  <c r="DI5" i="1"/>
  <c r="DJ5" i="1" l="1"/>
  <c r="DI6" i="1"/>
  <c r="DJ6" i="1" l="1"/>
  <c r="DK5" i="1"/>
  <c r="DK6" i="1" l="1"/>
  <c r="DL5" i="1"/>
  <c r="DM5" i="1" l="1"/>
  <c r="DL6" i="1"/>
  <c r="DN5" i="1" l="1"/>
  <c r="DM6" i="1"/>
  <c r="DN6" i="1" l="1"/>
  <c r="DO5" i="1"/>
  <c r="DP5" i="1" l="1"/>
  <c r="DO6" i="1"/>
  <c r="DP6" i="1" l="1"/>
  <c r="DQ5" i="1"/>
  <c r="DR5" i="1" l="1"/>
  <c r="DQ6" i="1"/>
  <c r="DR6" i="1" l="1"/>
  <c r="DS5" i="1"/>
  <c r="DT5" i="1" l="1"/>
  <c r="DS6" i="1"/>
  <c r="DU5" i="1" l="1"/>
  <c r="DT6" i="1"/>
  <c r="DV5" i="1" l="1"/>
  <c r="DU6" i="1"/>
  <c r="DV6" i="1" l="1"/>
  <c r="DW5" i="1"/>
  <c r="DW6" i="1" l="1"/>
  <c r="DX5" i="1"/>
  <c r="DY5" i="1" l="1"/>
  <c r="DX6" i="1"/>
  <c r="DZ5" i="1" l="1"/>
  <c r="DY6" i="1"/>
  <c r="EA5" i="1" l="1"/>
  <c r="DZ6" i="1"/>
  <c r="EA6" i="1" l="1"/>
  <c r="EB5" i="1"/>
  <c r="EC5" i="1" l="1"/>
  <c r="EB6" i="1"/>
  <c r="EC6" i="1" l="1"/>
  <c r="ED5" i="1"/>
  <c r="EE5" i="1" l="1"/>
  <c r="ED6" i="1"/>
  <c r="EE6" i="1" l="1"/>
  <c r="EF5" i="1"/>
  <c r="EG5" i="1" l="1"/>
  <c r="EF6" i="1"/>
  <c r="EG6" i="1" l="1"/>
  <c r="EH5" i="1"/>
  <c r="EI5" i="1" l="1"/>
  <c r="EH6" i="1"/>
  <c r="EJ5" i="1" l="1"/>
  <c r="EI6" i="1"/>
  <c r="EJ6" i="1" l="1"/>
  <c r="EK5" i="1"/>
  <c r="EL5" i="1" l="1"/>
  <c r="EK6" i="1"/>
  <c r="EL6" i="1" l="1"/>
  <c r="EM5" i="1"/>
  <c r="EN5" i="1" l="1"/>
  <c r="EM6" i="1"/>
  <c r="EN6" i="1" l="1"/>
  <c r="EO5" i="1"/>
  <c r="EP5" i="1" l="1"/>
  <c r="EO6" i="1"/>
  <c r="EP6" i="1" l="1"/>
  <c r="EQ5" i="1"/>
  <c r="ER5" i="1" l="1"/>
  <c r="EQ6" i="1"/>
  <c r="ES5" i="1" l="1"/>
  <c r="ER6" i="1"/>
  <c r="ET5" i="1" l="1"/>
  <c r="ES6" i="1"/>
  <c r="ET6" i="1" l="1"/>
  <c r="EU5" i="1"/>
  <c r="EV5" i="1" l="1"/>
  <c r="EU6" i="1"/>
  <c r="EV6" i="1" l="1"/>
  <c r="EW5" i="1"/>
  <c r="EX5" i="1" l="1"/>
  <c r="EW6" i="1"/>
  <c r="EX6" i="1" l="1"/>
  <c r="EY5" i="1"/>
  <c r="EZ5" i="1" l="1"/>
  <c r="EY6" i="1"/>
  <c r="FA5" i="1" l="1"/>
  <c r="EZ6" i="1"/>
  <c r="FA6" i="1" l="1"/>
  <c r="FB5" i="1"/>
  <c r="FC5" i="1" l="1"/>
  <c r="FB6" i="1"/>
  <c r="FD5" i="1" l="1"/>
  <c r="FC6" i="1"/>
  <c r="FE5" i="1" l="1"/>
  <c r="FD6" i="1"/>
  <c r="FF5" i="1" l="1"/>
  <c r="FE6" i="1"/>
  <c r="FG5" i="1" l="1"/>
  <c r="FF6" i="1"/>
  <c r="FH5" i="1" l="1"/>
  <c r="FG6" i="1"/>
  <c r="FI5" i="1" l="1"/>
  <c r="FH6" i="1"/>
  <c r="FJ5" i="1" l="1"/>
  <c r="FI6" i="1"/>
  <c r="FK5" i="1" l="1"/>
  <c r="FJ6" i="1"/>
  <c r="FL5" i="1" l="1"/>
  <c r="FK6" i="1"/>
  <c r="FM5" i="1" l="1"/>
  <c r="FL6" i="1"/>
  <c r="FN5" i="1" l="1"/>
  <c r="FM6" i="1"/>
  <c r="FO5" i="1" l="1"/>
  <c r="FN6" i="1"/>
  <c r="FP5" i="1" l="1"/>
  <c r="FO6" i="1"/>
  <c r="FQ5" i="1" l="1"/>
  <c r="FP6" i="1"/>
  <c r="FR5" i="1" l="1"/>
  <c r="FQ6" i="1"/>
  <c r="FS5" i="1" l="1"/>
  <c r="FR6" i="1"/>
  <c r="FT5" i="1" l="1"/>
  <c r="FS6" i="1"/>
  <c r="FU5" i="1" l="1"/>
  <c r="FT6" i="1"/>
  <c r="FV5" i="1" l="1"/>
  <c r="FU6" i="1"/>
  <c r="FW5" i="1" l="1"/>
  <c r="FV6" i="1"/>
  <c r="FX5" i="1" l="1"/>
  <c r="FW6" i="1"/>
  <c r="FY5" i="1" l="1"/>
  <c r="FX6" i="1"/>
  <c r="FY6" i="1" l="1"/>
  <c r="FZ5" i="1"/>
  <c r="GA5" i="1" l="1"/>
  <c r="FZ6" i="1"/>
  <c r="GA6" i="1" l="1"/>
  <c r="GB5" i="1"/>
  <c r="GC5" i="1" l="1"/>
  <c r="GB6" i="1"/>
  <c r="GD5" i="1" l="1"/>
  <c r="GC6" i="1"/>
  <c r="GE5" i="1" l="1"/>
  <c r="GD6" i="1"/>
  <c r="GF5" i="1" l="1"/>
  <c r="GE6" i="1"/>
  <c r="GG5" i="1" l="1"/>
  <c r="GF6" i="1"/>
  <c r="GH5" i="1" l="1"/>
  <c r="GG6" i="1"/>
  <c r="GI5" i="1" l="1"/>
  <c r="GI6" i="1" s="1"/>
  <c r="GH6" i="1"/>
</calcChain>
</file>

<file path=xl/sharedStrings.xml><?xml version="1.0" encoding="utf-8"?>
<sst xmlns="http://schemas.openxmlformats.org/spreadsheetml/2006/main" count="206" uniqueCount="167">
  <si>
    <t>Systems Development Group Project</t>
  </si>
  <si>
    <t>Project start:</t>
  </si>
  <si>
    <t>Paragon Apartment Management System</t>
  </si>
  <si>
    <t>Display week:</t>
  </si>
  <si>
    <t>UFCF7S-30-2</t>
  </si>
  <si>
    <t>Project Members: Mohamed, Ava, Leyla, Erin, Chiko</t>
  </si>
  <si>
    <t>Oct 13, 2025</t>
  </si>
  <si>
    <t>Oct 27, 2025</t>
  </si>
  <si>
    <t>Nov 10, 2025</t>
  </si>
  <si>
    <t>Nov 24, 2025</t>
  </si>
  <si>
    <t>Dec 8, 2025</t>
  </si>
  <si>
    <t>Dec 22, 2025</t>
  </si>
  <si>
    <t>Jan 5, 2026</t>
  </si>
  <si>
    <t>Jan 19, 2026</t>
  </si>
  <si>
    <t>Feb 2, 2026</t>
  </si>
  <si>
    <t>Feb 16, 2026</t>
  </si>
  <si>
    <t>Mar 2, 2026</t>
  </si>
  <si>
    <t>Mar 16, 2026</t>
  </si>
  <si>
    <t>ID</t>
  </si>
  <si>
    <t>TASK</t>
  </si>
  <si>
    <t>DEPENDENCIES</t>
  </si>
  <si>
    <t>ASSIGNED TO</t>
  </si>
  <si>
    <t>PROGRESS</t>
  </si>
  <si>
    <t>START</t>
  </si>
  <si>
    <t>END</t>
  </si>
  <si>
    <t>SKILL NEEDED</t>
  </si>
  <si>
    <t xml:space="preserve">Do not delete this row. This row is hidden to preserve a formula that is used to highlight the current day within the project schedule. </t>
  </si>
  <si>
    <t>Planning and Design</t>
  </si>
  <si>
    <t>A1</t>
  </si>
  <si>
    <t>Aims &amp; Objectives</t>
  </si>
  <si>
    <t>NONE</t>
  </si>
  <si>
    <t>All Group Members</t>
  </si>
  <si>
    <t>Goal setting, Documentation, Research, Teamwork</t>
  </si>
  <si>
    <t>A2</t>
  </si>
  <si>
    <t>Literature Review</t>
  </si>
  <si>
    <t>Leyla &amp; Ava</t>
  </si>
  <si>
    <t>Research, Documentation</t>
  </si>
  <si>
    <t>A3</t>
  </si>
  <si>
    <t>Create Schedule &amp; Gantt Chart</t>
  </si>
  <si>
    <t>Mohamed &amp; Ava</t>
  </si>
  <si>
    <t>Scheduling, Documentation, Communication</t>
  </si>
  <si>
    <t>A4</t>
  </si>
  <si>
    <t>Requirements Analysis</t>
  </si>
  <si>
    <t>Mohamed, Ava, Leyla, Erin</t>
  </si>
  <si>
    <t>Documentation, Research, Team-work</t>
  </si>
  <si>
    <t>System Design</t>
  </si>
  <si>
    <t>B1</t>
  </si>
  <si>
    <t>Class diagram</t>
  </si>
  <si>
    <t>Ava</t>
  </si>
  <si>
    <t>UML, System Modelling</t>
  </si>
  <si>
    <t>B2</t>
  </si>
  <si>
    <t>Use case Diagram</t>
  </si>
  <si>
    <t>Erin</t>
  </si>
  <si>
    <t>UML, OOP, System Modelling</t>
  </si>
  <si>
    <t>B3</t>
  </si>
  <si>
    <t>Sequence Diagrams</t>
  </si>
  <si>
    <t>Mohamed</t>
  </si>
  <si>
    <t>UML, Flow Design</t>
  </si>
  <si>
    <t>D1</t>
  </si>
  <si>
    <t>ERD Design</t>
  </si>
  <si>
    <t>Database Modelling, SQL</t>
  </si>
  <si>
    <t>C1</t>
  </si>
  <si>
    <t>Risk Register</t>
  </si>
  <si>
    <t>Risk Analysis, Documentation</t>
  </si>
  <si>
    <t>Execution</t>
  </si>
  <si>
    <t>E1</t>
  </si>
  <si>
    <t>UI &amp; Helper Components</t>
  </si>
  <si>
    <t>A1, B1, D1</t>
  </si>
  <si>
    <t>Chiko</t>
  </si>
  <si>
    <t>Tkinter, Python, UI Components</t>
  </si>
  <si>
    <t>E2</t>
  </si>
  <si>
    <t>Dashboard Template</t>
  </si>
  <si>
    <t>UI Design, Layout, Components</t>
  </si>
  <si>
    <t>Database Normalisation</t>
  </si>
  <si>
    <t>B1, B2, D1</t>
  </si>
  <si>
    <t>Chiko &amp; Mohammed</t>
  </si>
  <si>
    <t>SQL, Table Design, Queries</t>
  </si>
  <si>
    <t>D2</t>
  </si>
  <si>
    <t>Database Implementation</t>
  </si>
  <si>
    <t>F1</t>
  </si>
  <si>
    <t>Authentication System</t>
  </si>
  <si>
    <t>B1, B2</t>
  </si>
  <si>
    <t>Security, Login, RBAC</t>
  </si>
  <si>
    <t>G1</t>
  </si>
  <si>
    <t>Admin Module - Core</t>
  </si>
  <si>
    <t>E1, B1</t>
  </si>
  <si>
    <t>Mohamed &amp; Chiko</t>
  </si>
  <si>
    <t>Backend, CRUD, Role Management</t>
  </si>
  <si>
    <t>G2</t>
  </si>
  <si>
    <t>Admin - Finance &amp; Security</t>
  </si>
  <si>
    <t>Finance, Security, Reporting</t>
  </si>
  <si>
    <t>G3</t>
  </si>
  <si>
    <t>Manager - Operations</t>
  </si>
  <si>
    <t>E2, D1</t>
  </si>
  <si>
    <t>Mohammed</t>
  </si>
  <si>
    <t>Operations, Approval, Backend</t>
  </si>
  <si>
    <t>G4</t>
  </si>
  <si>
    <t>Manager - Reports</t>
  </si>
  <si>
    <t>Analytics, Reporting, SQL</t>
  </si>
  <si>
    <t>G5</t>
  </si>
  <si>
    <t>Finance - Transactions &amp; Reports</t>
  </si>
  <si>
    <t>E1, F1, D2</t>
  </si>
  <si>
    <t>Chiko, Mohammed</t>
  </si>
  <si>
    <t>Payment Processing, Backend</t>
  </si>
  <si>
    <t>G6</t>
  </si>
  <si>
    <t>Maintenance - Requests</t>
  </si>
  <si>
    <t>Reporting, Billing, SQL</t>
  </si>
  <si>
    <t>G7</t>
  </si>
  <si>
    <t>Maintenance - Scheduling</t>
  </si>
  <si>
    <t>E1, E2, D2</t>
  </si>
  <si>
    <t>Maintenance Tracking, Logging</t>
  </si>
  <si>
    <t>G8</t>
  </si>
  <si>
    <t>Front desk - Registration</t>
  </si>
  <si>
    <t>Ava, Leyla, Erin</t>
  </si>
  <si>
    <t>Scheduling, Notifications</t>
  </si>
  <si>
    <t>G9</t>
  </si>
  <si>
    <t>Front Desk - Records</t>
  </si>
  <si>
    <t>E1, E2, D3</t>
  </si>
  <si>
    <t>Registration, Data Entry</t>
  </si>
  <si>
    <t>G10</t>
  </si>
  <si>
    <t>Tenant - Profile</t>
  </si>
  <si>
    <t>E1, E2, D4</t>
  </si>
  <si>
    <t>Record Updates, Logging</t>
  </si>
  <si>
    <t>G11</t>
  </si>
  <si>
    <t xml:space="preserve">User management </t>
  </si>
  <si>
    <t>D1, E1, E2</t>
  </si>
  <si>
    <t>User data, Privacy Handling, UI, Access Control</t>
  </si>
  <si>
    <t>G12</t>
  </si>
  <si>
    <t>Lease management</t>
  </si>
  <si>
    <t>D1, E1, E3</t>
  </si>
  <si>
    <t xml:space="preserve">Leyla </t>
  </si>
  <si>
    <t>Lease Data, Privacy, Access Control, UI</t>
  </si>
  <si>
    <t>H1</t>
  </si>
  <si>
    <t>Security &amp; Validation</t>
  </si>
  <si>
    <t>All</t>
  </si>
  <si>
    <t>Authentication, SQL, Audit</t>
  </si>
  <si>
    <t>Evaluation &amp; Reporting</t>
  </si>
  <si>
    <t>I1</t>
  </si>
  <si>
    <t>Monitor progress</t>
  </si>
  <si>
    <t>None</t>
  </si>
  <si>
    <t>Testing, Verification, Comminication, Team-working</t>
  </si>
  <si>
    <t>I2</t>
  </si>
  <si>
    <t>Formative Peer Review</t>
  </si>
  <si>
    <t>Communication, Teamwork</t>
  </si>
  <si>
    <t>I3</t>
  </si>
  <si>
    <t>Final Testing</t>
  </si>
  <si>
    <t>Validation, Documentation, Communication</t>
  </si>
  <si>
    <t>Report Writing, Documentation, Referencing, Communication</t>
  </si>
  <si>
    <t>I4</t>
  </si>
  <si>
    <t>Compile Final Report</t>
  </si>
  <si>
    <t>I5</t>
  </si>
  <si>
    <t>Individual Reflection &amp; Demo</t>
  </si>
  <si>
    <t>Reflection, Presentation</t>
  </si>
  <si>
    <t>SIMPLE GANTT CHART by Vertex42.com</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</si>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</sst>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
    <numFmt numFmtId="165" formatCode="m/d/yy;@"/>
    <numFmt numFmtId="166" formatCode="mmm\ d\,\ yyyy"/>
    <numFmt numFmtId="167" formatCode="ddd\,\ m/d/yyyy"/>
  </numFmts>
  <fonts count="30" x14ac:knownFonts="1">
    <font>
      <sz val="11"/>
      <color theme="1"/>
      <name val="Arial"/>
      <family val="2"/>
      <scheme val="minor"/>
    </font>
    <font>
      <sz val="12"/>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sz val="11"/>
      <color rgb="FF1D2129"/>
      <name val="Arial"/>
      <family val="2"/>
      <scheme val="minor"/>
    </font>
    <font>
      <u/>
      <sz val="11"/>
      <color indexed="12"/>
      <name val="Arial"/>
      <family val="2"/>
      <scheme val="minor"/>
    </font>
    <font>
      <b/>
      <sz val="20"/>
      <color theme="9"/>
      <name val="Arial Black (Headings)"/>
    </font>
    <font>
      <b/>
      <sz val="16"/>
      <color theme="0"/>
      <name val="Arial"/>
      <family val="2"/>
      <scheme val="minor"/>
    </font>
    <font>
      <sz val="16"/>
      <color theme="0"/>
      <name val="Arial"/>
      <family val="2"/>
      <scheme val="minor"/>
    </font>
    <font>
      <b/>
      <sz val="16"/>
      <color theme="0"/>
      <name val="Arial Black"/>
      <family val="2"/>
      <scheme val="major"/>
    </font>
    <font>
      <b/>
      <sz val="18"/>
      <name val="Arial"/>
      <family val="2"/>
      <scheme val="minor"/>
    </font>
  </fonts>
  <fills count="1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0691854609822"/>
        <bgColor indexed="64"/>
      </patternFill>
    </fill>
    <fill>
      <patternFill patternType="solid">
        <fgColor theme="6" tint="0.39997558519241921"/>
        <bgColor indexed="65"/>
      </patternFill>
    </fill>
    <fill>
      <patternFill patternType="solid">
        <fgColor theme="8" tint="0.79998168889431442"/>
        <bgColor indexed="65"/>
      </patternFill>
    </fill>
    <fill>
      <patternFill patternType="solid">
        <fgColor rgb="FFFFFF00"/>
        <bgColor indexed="64"/>
      </patternFill>
    </fill>
  </fills>
  <borders count="44">
    <border>
      <left/>
      <right/>
      <top/>
      <bottom/>
      <diagonal/>
    </border>
    <border>
      <left/>
      <right/>
      <top style="medium">
        <color theme="0" tint="-0.14990691854609822"/>
      </top>
      <bottom style="medium">
        <color theme="0" tint="-0.1499069185460982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8764000366222"/>
      </left>
      <right style="thin">
        <color theme="0" tint="-0.14987640003662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64"/>
      </left>
      <right/>
      <top style="thin">
        <color theme="1" tint="0.499984740745262"/>
      </top>
      <bottom style="thin">
        <color theme="1" tint="0.499984740745262"/>
      </bottom>
      <diagonal/>
    </border>
    <border>
      <left/>
      <right style="thin">
        <color indexed="64"/>
      </right>
      <top style="thin">
        <color theme="1" tint="0.499984740745262"/>
      </top>
      <bottom style="thin">
        <color theme="1" tint="0.499984740745262"/>
      </bottom>
      <diagonal/>
    </border>
    <border>
      <left style="thin">
        <color indexed="64"/>
      </left>
      <right/>
      <top/>
      <bottom style="thin">
        <color theme="1" tint="0.499984740745262"/>
      </bottom>
      <diagonal/>
    </border>
    <border>
      <left style="thin">
        <color theme="1" tint="0.499984740745262"/>
      </left>
      <right style="thin">
        <color indexed="64"/>
      </right>
      <top style="thin">
        <color theme="1" tint="0.499984740745262"/>
      </top>
      <bottom/>
      <diagonal/>
    </border>
    <border>
      <left style="thin">
        <color indexed="64"/>
      </left>
      <right/>
      <top/>
      <bottom/>
      <diagonal/>
    </border>
    <border>
      <left/>
      <right style="thin">
        <color indexed="64"/>
      </right>
      <top/>
      <bottom/>
      <diagonal/>
    </border>
    <border>
      <left style="thin">
        <color indexed="64"/>
      </left>
      <right/>
      <top style="medium">
        <color theme="0" tint="-0.14990691854609822"/>
      </top>
      <bottom style="medium">
        <color theme="0" tint="-0.1499069185460982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top style="medium">
        <color theme="0" tint="-0.14990691854609822"/>
      </top>
      <bottom style="thin">
        <color indexed="64"/>
      </bottom>
      <diagonal/>
    </border>
    <border>
      <left/>
      <right/>
      <top style="thin">
        <color theme="8" tint="0.59996337778862885"/>
      </top>
      <bottom style="thin">
        <color indexed="64"/>
      </bottom>
      <diagonal/>
    </border>
    <border>
      <left/>
      <right/>
      <top style="medium">
        <color theme="0" tint="-0.1499069185460982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1" tint="0.499984740745262"/>
      </left>
      <right style="thin">
        <color theme="1" tint="0.499984740745262"/>
      </right>
      <top/>
      <bottom style="thin">
        <color theme="1" tint="0.499984740745262"/>
      </bottom>
      <diagonal/>
    </border>
    <border>
      <left/>
      <right style="thin">
        <color indexed="64"/>
      </right>
      <top/>
      <bottom style="thin">
        <color theme="1" tint="0.499984740745262"/>
      </bottom>
      <diagonal/>
    </border>
    <border>
      <left/>
      <right style="medium">
        <color indexed="64"/>
      </right>
      <top/>
      <bottom style="medium">
        <color indexed="64"/>
      </bottom>
      <diagonal/>
    </border>
  </borders>
  <cellStyleXfs count="14">
    <xf numFmtId="0" fontId="0" fillId="0" borderId="0"/>
    <xf numFmtId="0" fontId="3" fillId="0" borderId="0">
      <alignment vertical="top"/>
      <protection locked="0"/>
    </xf>
    <xf numFmtId="9" fontId="5" fillId="0" borderId="0"/>
    <xf numFmtId="0" fontId="12" fillId="0" borderId="0"/>
    <xf numFmtId="0" fontId="7" fillId="0" borderId="0"/>
    <xf numFmtId="0" fontId="6" fillId="0" borderId="0"/>
    <xf numFmtId="0" fontId="6" fillId="0" borderId="0">
      <alignment vertical="top"/>
    </xf>
    <xf numFmtId="0" fontId="5" fillId="0" borderId="0">
      <alignment horizontal="right" indent="1"/>
    </xf>
    <xf numFmtId="167" fontId="5" fillId="0" borderId="2">
      <alignment horizontal="center" vertical="center"/>
    </xf>
    <xf numFmtId="165" fontId="5" fillId="0" borderId="1">
      <alignment horizontal="center" vertical="center"/>
    </xf>
    <xf numFmtId="0" fontId="5" fillId="0" borderId="1">
      <alignment horizontal="center" vertical="center"/>
    </xf>
    <xf numFmtId="0" fontId="5" fillId="0" borderId="1">
      <alignment horizontal="left" vertical="center" indent="2"/>
    </xf>
    <xf numFmtId="0" fontId="1" fillId="13" borderId="0"/>
    <xf numFmtId="0" fontId="1" fillId="14" borderId="0"/>
  </cellStyleXfs>
  <cellXfs count="142">
    <xf numFmtId="0" fontId="0" fillId="0" borderId="0" xfId="0"/>
    <xf numFmtId="0" fontId="2" fillId="0" borderId="0" xfId="0" applyFont="1"/>
    <xf numFmtId="0" fontId="0" fillId="0" borderId="0" xfId="0" applyAlignment="1">
      <alignment horizontal="center"/>
    </xf>
    <xf numFmtId="0" fontId="4" fillId="0" borderId="1" xfId="0" applyFont="1" applyBorder="1" applyAlignment="1">
      <alignment horizontal="center" vertical="center"/>
    </xf>
    <xf numFmtId="0" fontId="2" fillId="0" borderId="0" xfId="0" applyFont="1" applyAlignment="1">
      <alignment vertical="top"/>
    </xf>
    <xf numFmtId="0" fontId="8" fillId="0" borderId="0" xfId="0" applyFont="1" applyAlignment="1">
      <alignment horizontal="left" vertical="center"/>
    </xf>
    <xf numFmtId="0" fontId="9" fillId="0" borderId="0" xfId="0" applyFont="1" applyAlignment="1">
      <alignment horizontal="left" vertical="center"/>
    </xf>
    <xf numFmtId="0" fontId="11" fillId="0" borderId="0" xfId="0" applyFont="1"/>
    <xf numFmtId="0" fontId="2" fillId="0" borderId="0" xfId="0" applyFont="1" applyAlignment="1">
      <alignment horizontal="left" vertical="top"/>
    </xf>
    <xf numFmtId="0" fontId="10" fillId="0" borderId="0" xfId="0" applyFont="1" applyAlignment="1">
      <alignment vertical="top"/>
    </xf>
    <xf numFmtId="0" fontId="12" fillId="0" borderId="0" xfId="3"/>
    <xf numFmtId="0" fontId="5" fillId="0" borderId="0" xfId="0" applyFont="1"/>
    <xf numFmtId="164" fontId="19" fillId="12" borderId="18" xfId="0" applyNumberFormat="1" applyFont="1" applyFill="1" applyBorder="1" applyAlignment="1">
      <alignment horizontal="center" vertical="center"/>
    </xf>
    <xf numFmtId="164" fontId="19" fillId="12" borderId="16" xfId="0" applyNumberFormat="1" applyFont="1" applyFill="1" applyBorder="1" applyAlignment="1">
      <alignment horizontal="center" vertical="center"/>
    </xf>
    <xf numFmtId="164" fontId="19" fillId="12" borderId="17" xfId="0" applyNumberFormat="1" applyFont="1" applyFill="1" applyBorder="1" applyAlignment="1">
      <alignment horizontal="center" vertical="center"/>
    </xf>
    <xf numFmtId="0" fontId="20" fillId="2" borderId="15" xfId="0" applyFont="1" applyFill="1" applyBorder="1" applyAlignment="1">
      <alignment horizontal="center" vertical="center" shrinkToFit="1"/>
    </xf>
    <xf numFmtId="0" fontId="20" fillId="2" borderId="12" xfId="0" applyFont="1" applyFill="1" applyBorder="1" applyAlignment="1">
      <alignment horizontal="center" vertical="center" shrinkToFit="1"/>
    </xf>
    <xf numFmtId="0" fontId="20" fillId="2" borderId="13" xfId="0" applyFont="1" applyFill="1" applyBorder="1" applyAlignment="1">
      <alignment horizontal="center" vertical="center" shrinkToFit="1"/>
    </xf>
    <xf numFmtId="0" fontId="5" fillId="0" borderId="3" xfId="0" applyFont="1" applyBorder="1" applyAlignment="1">
      <alignment vertical="center"/>
    </xf>
    <xf numFmtId="0" fontId="17" fillId="6" borderId="0" xfId="10" applyFont="1" applyFill="1" applyBorder="1" applyAlignment="1">
      <alignment vertical="center"/>
    </xf>
    <xf numFmtId="0" fontId="5" fillId="0" borderId="11" xfId="0" applyFont="1" applyBorder="1" applyAlignment="1">
      <alignment vertical="center"/>
    </xf>
    <xf numFmtId="0" fontId="5" fillId="0" borderId="0" xfId="0" applyFont="1" applyAlignment="1">
      <alignment vertical="center"/>
    </xf>
    <xf numFmtId="0" fontId="17" fillId="3" borderId="6" xfId="11" applyFont="1" applyFill="1" applyBorder="1">
      <alignment horizontal="left" vertical="center" indent="2"/>
    </xf>
    <xf numFmtId="0" fontId="17" fillId="3" borderId="6" xfId="10" applyFont="1" applyFill="1" applyBorder="1" applyAlignment="1">
      <alignment vertical="center"/>
    </xf>
    <xf numFmtId="9" fontId="2" fillId="3" borderId="6" xfId="2" applyFont="1" applyFill="1" applyBorder="1" applyAlignment="1">
      <alignment horizontal="center" vertical="center"/>
    </xf>
    <xf numFmtId="165" fontId="17" fillId="3" borderId="6" xfId="9" applyFont="1" applyFill="1" applyBorder="1">
      <alignment horizontal="center" vertical="center"/>
    </xf>
    <xf numFmtId="0" fontId="5" fillId="0" borderId="4" xfId="0" applyFont="1" applyBorder="1" applyAlignment="1">
      <alignment vertical="center"/>
    </xf>
    <xf numFmtId="0" fontId="17" fillId="3" borderId="7" xfId="11" applyFont="1" applyFill="1" applyBorder="1">
      <alignment horizontal="left" vertical="center" indent="2"/>
    </xf>
    <xf numFmtId="0" fontId="17" fillId="3" borderId="7" xfId="10" applyFont="1" applyFill="1" applyBorder="1" applyAlignment="1">
      <alignment vertical="center"/>
    </xf>
    <xf numFmtId="9" fontId="2" fillId="3" borderId="7" xfId="2" applyFont="1" applyFill="1" applyBorder="1" applyAlignment="1">
      <alignment horizontal="center" vertical="center"/>
    </xf>
    <xf numFmtId="165" fontId="17" fillId="3" borderId="7" xfId="9" applyFont="1" applyFill="1" applyBorder="1">
      <alignment horizontal="center" vertical="center"/>
    </xf>
    <xf numFmtId="0" fontId="5" fillId="0" borderId="4" xfId="0" applyFont="1" applyBorder="1" applyAlignment="1">
      <alignment horizontal="right" vertical="center"/>
    </xf>
    <xf numFmtId="0" fontId="17" fillId="7" borderId="0" xfId="10" applyFont="1" applyFill="1" applyBorder="1" applyAlignment="1">
      <alignment vertical="center"/>
    </xf>
    <xf numFmtId="0" fontId="17" fillId="4" borderId="5" xfId="11" applyFont="1" applyFill="1" applyBorder="1">
      <alignment horizontal="left" vertical="center" indent="2"/>
    </xf>
    <xf numFmtId="0" fontId="17" fillId="4" borderId="5" xfId="10" applyFont="1" applyFill="1" applyBorder="1" applyAlignment="1">
      <alignment vertical="center"/>
    </xf>
    <xf numFmtId="9" fontId="2" fillId="4" borderId="5" xfId="2" applyFont="1" applyFill="1" applyBorder="1" applyAlignment="1">
      <alignment horizontal="center" vertical="center"/>
    </xf>
    <xf numFmtId="165" fontId="17" fillId="4" borderId="5" xfId="9" applyFont="1" applyFill="1" applyBorder="1">
      <alignment horizontal="center" vertical="center"/>
    </xf>
    <xf numFmtId="0" fontId="17" fillId="8" borderId="0" xfId="10" applyFont="1" applyFill="1" applyBorder="1" applyAlignment="1">
      <alignment vertical="center"/>
    </xf>
    <xf numFmtId="0" fontId="17" fillId="5" borderId="8" xfId="11" applyFont="1" applyFill="1" applyBorder="1">
      <alignment horizontal="left" vertical="center" indent="2"/>
    </xf>
    <xf numFmtId="0" fontId="17" fillId="5" borderId="8" xfId="10" applyFont="1" applyFill="1" applyBorder="1" applyAlignment="1">
      <alignment vertical="center"/>
    </xf>
    <xf numFmtId="9" fontId="2" fillId="5" borderId="8" xfId="2" applyFont="1" applyFill="1" applyBorder="1" applyAlignment="1">
      <alignment horizontal="center" vertical="center"/>
    </xf>
    <xf numFmtId="165" fontId="17" fillId="5" borderId="8" xfId="9" applyFont="1" applyFill="1" applyBorder="1">
      <alignment horizontal="center" vertical="center"/>
    </xf>
    <xf numFmtId="0" fontId="17" fillId="9" borderId="0" xfId="10" applyFont="1" applyFill="1" applyBorder="1" applyAlignment="1">
      <alignment vertical="center"/>
    </xf>
    <xf numFmtId="0" fontId="5" fillId="0" borderId="10" xfId="0" applyFont="1" applyBorder="1" applyAlignment="1">
      <alignment vertical="center"/>
    </xf>
    <xf numFmtId="0" fontId="17" fillId="10" borderId="9" xfId="11" applyFont="1" applyFill="1" applyBorder="1">
      <alignment horizontal="left" vertical="center" indent="2"/>
    </xf>
    <xf numFmtId="0" fontId="17" fillId="10" borderId="9" xfId="10" applyFont="1" applyFill="1" applyBorder="1" applyAlignment="1">
      <alignment vertical="center"/>
    </xf>
    <xf numFmtId="9" fontId="2" fillId="10" borderId="9" xfId="2" applyFont="1" applyFill="1" applyBorder="1" applyAlignment="1">
      <alignment horizontal="center" vertical="center"/>
    </xf>
    <xf numFmtId="165" fontId="17" fillId="10" borderId="9" xfId="9" applyFont="1" applyFill="1" applyBorder="1">
      <alignment horizontal="center" vertical="center"/>
    </xf>
    <xf numFmtId="0" fontId="8" fillId="0" borderId="0" xfId="0" applyFont="1" applyAlignment="1">
      <alignment horizontal="left" vertical="center" indent="1"/>
    </xf>
    <xf numFmtId="0" fontId="4" fillId="0" borderId="0" xfId="0" applyFont="1" applyAlignment="1">
      <alignment horizontal="left" vertical="top" indent="1"/>
    </xf>
    <xf numFmtId="0" fontId="22" fillId="0" borderId="0" xfId="0" applyFont="1" applyAlignment="1">
      <alignment horizontal="left" vertical="center" indent="1"/>
    </xf>
    <xf numFmtId="0" fontId="23" fillId="0" borderId="0" xfId="0" applyFont="1" applyAlignment="1">
      <alignment horizontal="left" vertical="top" wrapText="1" indent="1"/>
    </xf>
    <xf numFmtId="0" fontId="0" fillId="0" borderId="0" xfId="0" applyAlignment="1">
      <alignment horizontal="left" vertical="top" wrapText="1" indent="1"/>
    </xf>
    <xf numFmtId="0" fontId="24" fillId="0" borderId="0" xfId="1" applyFont="1" applyAlignment="1" applyProtection="1">
      <alignment horizontal="left" vertical="top" indent="1"/>
    </xf>
    <xf numFmtId="0" fontId="2" fillId="0" borderId="0" xfId="0" applyFont="1" applyAlignment="1">
      <alignment horizontal="left" vertical="top" indent="1"/>
    </xf>
    <xf numFmtId="0" fontId="18" fillId="11" borderId="14" xfId="0" applyFont="1" applyFill="1" applyBorder="1" applyAlignment="1">
      <alignment horizontal="left" vertical="center" indent="1"/>
    </xf>
    <xf numFmtId="0" fontId="17" fillId="5" borderId="0" xfId="11" applyFont="1" applyFill="1" applyBorder="1">
      <alignment horizontal="left" vertical="center" indent="2"/>
    </xf>
    <xf numFmtId="0" fontId="17" fillId="5" borderId="0" xfId="10" applyFont="1" applyFill="1" applyBorder="1" applyAlignment="1">
      <alignment vertical="center"/>
    </xf>
    <xf numFmtId="165" fontId="17" fillId="5" borderId="0" xfId="9" applyFont="1" applyFill="1" applyBorder="1">
      <alignment horizontal="center" vertical="center"/>
    </xf>
    <xf numFmtId="0" fontId="1" fillId="13" borderId="4" xfId="12" applyBorder="1" applyAlignment="1">
      <alignment vertical="center"/>
    </xf>
    <xf numFmtId="0" fontId="1" fillId="14" borderId="4" xfId="13" applyBorder="1" applyAlignment="1">
      <alignment vertical="center"/>
    </xf>
    <xf numFmtId="0" fontId="1" fillId="15" borderId="4" xfId="13" applyFill="1" applyBorder="1" applyAlignment="1">
      <alignment vertical="center"/>
    </xf>
    <xf numFmtId="0" fontId="18" fillId="11" borderId="18" xfId="0" applyFont="1" applyFill="1" applyBorder="1" applyAlignment="1">
      <alignment horizontal="center" vertical="center"/>
    </xf>
    <xf numFmtId="0" fontId="0" fillId="0" borderId="19" xfId="0" applyBorder="1"/>
    <xf numFmtId="0" fontId="18" fillId="11" borderId="18" xfId="0" applyFont="1" applyFill="1" applyBorder="1" applyAlignment="1">
      <alignment horizontal="left" vertical="center" indent="1"/>
    </xf>
    <xf numFmtId="166" fontId="17" fillId="2" borderId="20" xfId="0" applyNumberFormat="1" applyFont="1" applyFill="1" applyBorder="1" applyAlignment="1">
      <alignment horizontal="center" vertical="center" wrapText="1"/>
    </xf>
    <xf numFmtId="0" fontId="0" fillId="0" borderId="20" xfId="0" applyBorder="1"/>
    <xf numFmtId="0" fontId="18" fillId="11" borderId="18" xfId="0" applyFont="1" applyFill="1" applyBorder="1" applyAlignment="1">
      <alignment vertical="center"/>
    </xf>
    <xf numFmtId="0" fontId="5" fillId="0" borderId="0" xfId="0" applyFont="1" applyBorder="1" applyAlignment="1">
      <alignment vertical="center"/>
    </xf>
    <xf numFmtId="0" fontId="12" fillId="0" borderId="21" xfId="3" applyBorder="1" applyAlignment="1">
      <alignment wrapText="1"/>
    </xf>
    <xf numFmtId="0" fontId="25" fillId="0" borderId="22" xfId="4" applyFont="1" applyBorder="1" applyAlignment="1">
      <alignment horizontal="left"/>
    </xf>
    <xf numFmtId="0" fontId="14" fillId="0" borderId="22" xfId="0" applyFont="1" applyBorder="1"/>
    <xf numFmtId="0" fontId="13" fillId="0" borderId="22" xfId="0" applyFont="1" applyBorder="1"/>
    <xf numFmtId="0" fontId="13" fillId="0" borderId="22" xfId="0" applyFont="1" applyBorder="1" applyAlignment="1">
      <alignment horizontal="center"/>
    </xf>
    <xf numFmtId="0" fontId="13" fillId="0" borderId="22" xfId="0" applyFont="1" applyBorder="1" applyAlignment="1">
      <alignment horizontal="center" vertical="center"/>
    </xf>
    <xf numFmtId="0" fontId="0" fillId="0" borderId="22" xfId="0" applyBorder="1"/>
    <xf numFmtId="0" fontId="2" fillId="0" borderId="22" xfId="0" applyFont="1" applyBorder="1"/>
    <xf numFmtId="0" fontId="26" fillId="0" borderId="22" xfId="7" applyFont="1" applyBorder="1" applyAlignment="1">
      <alignment horizontal="left"/>
    </xf>
    <xf numFmtId="0" fontId="0" fillId="0" borderId="22" xfId="0" applyBorder="1"/>
    <xf numFmtId="0" fontId="27" fillId="0" borderId="22" xfId="0" applyFont="1" applyBorder="1"/>
    <xf numFmtId="167" fontId="28" fillId="0" borderId="22" xfId="8" applyFont="1" applyBorder="1" applyAlignment="1">
      <alignment horizontal="left"/>
    </xf>
    <xf numFmtId="0" fontId="0" fillId="0" borderId="23" xfId="0" applyBorder="1"/>
    <xf numFmtId="0" fontId="12" fillId="0" borderId="24" xfId="3" applyBorder="1"/>
    <xf numFmtId="0" fontId="22" fillId="0" borderId="0" xfId="5" applyFont="1" applyBorder="1" applyAlignment="1">
      <alignment horizontal="left" vertical="center" indent="1"/>
    </xf>
    <xf numFmtId="0" fontId="22" fillId="0" borderId="0" xfId="6" applyFont="1" applyBorder="1" applyAlignment="1">
      <alignment horizontal="left" vertical="center" indent="1"/>
    </xf>
    <xf numFmtId="0" fontId="15" fillId="0" borderId="0" xfId="0" applyFont="1" applyBorder="1"/>
    <xf numFmtId="0" fontId="15" fillId="0" borderId="0" xfId="0" applyFont="1" applyBorder="1" applyAlignment="1">
      <alignment horizontal="center"/>
    </xf>
    <xf numFmtId="0" fontId="0" fillId="0" borderId="0" xfId="0" applyBorder="1"/>
    <xf numFmtId="0" fontId="26" fillId="0" borderId="0" xfId="7" applyFont="1" applyBorder="1" applyAlignment="1">
      <alignment horizontal="left"/>
    </xf>
    <xf numFmtId="0" fontId="0" fillId="0" borderId="0" xfId="0" applyBorder="1"/>
    <xf numFmtId="0" fontId="27" fillId="0" borderId="0" xfId="0" applyFont="1" applyBorder="1"/>
    <xf numFmtId="0" fontId="28" fillId="0" borderId="0" xfId="0" applyFont="1" applyBorder="1" applyAlignment="1">
      <alignment horizontal="left"/>
    </xf>
    <xf numFmtId="0" fontId="0" fillId="0" borderId="25" xfId="0" applyBorder="1"/>
    <xf numFmtId="0" fontId="5" fillId="0" borderId="0" xfId="0" applyFont="1" applyBorder="1"/>
    <xf numFmtId="0" fontId="2" fillId="0" borderId="0" xfId="1" applyFont="1" applyBorder="1" applyAlignment="1" applyProtection="1">
      <alignment horizontal="left" vertical="top" indent="1"/>
    </xf>
    <xf numFmtId="0" fontId="5" fillId="0" borderId="0" xfId="0" applyFont="1" applyBorder="1" applyAlignment="1">
      <alignment horizontal="left" indent="1"/>
    </xf>
    <xf numFmtId="0" fontId="17" fillId="0" borderId="0" xfId="0" applyFont="1" applyBorder="1"/>
    <xf numFmtId="0" fontId="17" fillId="0" borderId="0" xfId="0" applyFont="1" applyBorder="1" applyAlignment="1">
      <alignment wrapText="1"/>
    </xf>
    <xf numFmtId="0" fontId="21" fillId="6" borderId="0" xfId="0" applyFont="1" applyFill="1" applyBorder="1" applyAlignment="1">
      <alignment horizontal="left" vertical="center" indent="1"/>
    </xf>
    <xf numFmtId="9" fontId="2" fillId="6" borderId="0" xfId="2" applyFont="1" applyFill="1" applyBorder="1" applyAlignment="1">
      <alignment horizontal="center" vertical="center"/>
    </xf>
    <xf numFmtId="165" fontId="17" fillId="6" borderId="0" xfId="0" applyNumberFormat="1" applyFont="1" applyFill="1" applyBorder="1" applyAlignment="1">
      <alignment horizontal="center" vertical="center"/>
    </xf>
    <xf numFmtId="165" fontId="2" fillId="6" borderId="0" xfId="0" applyNumberFormat="1" applyFont="1" applyFill="1" applyBorder="1" applyAlignment="1">
      <alignment horizontal="center" vertical="center"/>
    </xf>
    <xf numFmtId="0" fontId="21" fillId="7" borderId="0" xfId="0" applyFont="1" applyFill="1" applyBorder="1" applyAlignment="1">
      <alignment horizontal="left" vertical="center" indent="1"/>
    </xf>
    <xf numFmtId="9" fontId="2" fillId="7" borderId="0" xfId="2" applyFont="1" applyFill="1" applyBorder="1" applyAlignment="1">
      <alignment horizontal="center" vertical="center"/>
    </xf>
    <xf numFmtId="165" fontId="17" fillId="7" borderId="0" xfId="0" applyNumberFormat="1" applyFont="1" applyFill="1" applyBorder="1" applyAlignment="1">
      <alignment horizontal="center" vertical="center"/>
    </xf>
    <xf numFmtId="165" fontId="2" fillId="7" borderId="0" xfId="0" applyNumberFormat="1" applyFont="1" applyFill="1" applyBorder="1" applyAlignment="1">
      <alignment horizontal="center" vertical="center"/>
    </xf>
    <xf numFmtId="0" fontId="21" fillId="8" borderId="0" xfId="0" applyFont="1" applyFill="1" applyBorder="1" applyAlignment="1">
      <alignment horizontal="left" vertical="center" indent="1"/>
    </xf>
    <xf numFmtId="9" fontId="2" fillId="8" borderId="0" xfId="2" applyFont="1" applyFill="1" applyBorder="1" applyAlignment="1">
      <alignment horizontal="center" vertical="center"/>
    </xf>
    <xf numFmtId="165" fontId="17" fillId="8" borderId="0" xfId="0" applyNumberFormat="1" applyFont="1" applyFill="1" applyBorder="1" applyAlignment="1">
      <alignment horizontal="center" vertical="center"/>
    </xf>
    <xf numFmtId="165" fontId="2" fillId="8" borderId="0" xfId="0" applyNumberFormat="1" applyFont="1" applyFill="1" applyBorder="1" applyAlignment="1">
      <alignment horizontal="center" vertical="center"/>
    </xf>
    <xf numFmtId="0" fontId="21" fillId="9" borderId="0" xfId="0" applyFont="1" applyFill="1" applyBorder="1" applyAlignment="1">
      <alignment horizontal="left" vertical="center" indent="1"/>
    </xf>
    <xf numFmtId="9" fontId="2" fillId="9" borderId="0" xfId="2" applyFont="1" applyFill="1" applyBorder="1" applyAlignment="1">
      <alignment horizontal="center" vertical="center"/>
    </xf>
    <xf numFmtId="165" fontId="17" fillId="9" borderId="0" xfId="0" applyNumberFormat="1" applyFont="1" applyFill="1" applyBorder="1" applyAlignment="1">
      <alignment horizontal="center" vertical="center"/>
    </xf>
    <xf numFmtId="165" fontId="2" fillId="9" borderId="0" xfId="0" applyNumberFormat="1" applyFont="1" applyFill="1" applyBorder="1" applyAlignment="1">
      <alignment horizontal="center" vertical="center"/>
    </xf>
    <xf numFmtId="0" fontId="12" fillId="0" borderId="26" xfId="3" applyBorder="1"/>
    <xf numFmtId="0" fontId="18" fillId="11" borderId="28" xfId="0" applyFont="1" applyFill="1" applyBorder="1" applyAlignment="1">
      <alignment horizontal="left" vertical="center" indent="1"/>
    </xf>
    <xf numFmtId="164" fontId="19" fillId="12" borderId="29" xfId="0" applyNumberFormat="1" applyFont="1" applyFill="1" applyBorder="1" applyAlignment="1">
      <alignment horizontal="center" vertical="center"/>
    </xf>
    <xf numFmtId="0" fontId="0" fillId="0" borderId="30" xfId="0" applyBorder="1"/>
    <xf numFmtId="0" fontId="20" fillId="2" borderId="31" xfId="0" applyFont="1" applyFill="1" applyBorder="1" applyAlignment="1">
      <alignment horizontal="center" vertical="center" shrinkToFit="1"/>
    </xf>
    <xf numFmtId="0" fontId="12" fillId="0" borderId="32" xfId="3" applyBorder="1"/>
    <xf numFmtId="0" fontId="5" fillId="0" borderId="33" xfId="0" applyFont="1" applyBorder="1"/>
    <xf numFmtId="0" fontId="5" fillId="0" borderId="34" xfId="11" applyBorder="1">
      <alignment horizontal="left" vertical="center" indent="2"/>
    </xf>
    <xf numFmtId="0" fontId="5" fillId="0" borderId="33" xfId="0" applyFont="1" applyBorder="1" applyAlignment="1">
      <alignment vertical="center"/>
    </xf>
    <xf numFmtId="0" fontId="5" fillId="0" borderId="35" xfId="0" applyFont="1" applyBorder="1" applyAlignment="1">
      <alignment vertical="center"/>
    </xf>
    <xf numFmtId="0" fontId="5" fillId="0" borderId="36" xfId="11" applyBorder="1">
      <alignment horizontal="left" vertical="center" indent="2"/>
    </xf>
    <xf numFmtId="0" fontId="17" fillId="10" borderId="37" xfId="11" applyFont="1" applyFill="1" applyBorder="1">
      <alignment horizontal="left" vertical="center" indent="2"/>
    </xf>
    <xf numFmtId="0" fontId="17" fillId="10" borderId="37" xfId="10" applyFont="1" applyFill="1" applyBorder="1" applyAlignment="1">
      <alignment vertical="center"/>
    </xf>
    <xf numFmtId="9" fontId="2" fillId="10" borderId="37" xfId="2" applyFont="1" applyFill="1" applyBorder="1" applyAlignment="1">
      <alignment horizontal="center" vertical="center"/>
    </xf>
    <xf numFmtId="165" fontId="17" fillId="10" borderId="37" xfId="9" applyFont="1" applyFill="1" applyBorder="1">
      <alignment horizontal="center" vertical="center"/>
    </xf>
    <xf numFmtId="0" fontId="4" fillId="0" borderId="38" xfId="0" applyFont="1" applyBorder="1" applyAlignment="1">
      <alignment horizontal="center" vertical="center"/>
    </xf>
    <xf numFmtId="0" fontId="5" fillId="0" borderId="39" xfId="0" applyFont="1" applyBorder="1" applyAlignment="1">
      <alignment vertical="center"/>
    </xf>
    <xf numFmtId="0" fontId="5" fillId="0" borderId="40" xfId="0" applyFont="1" applyBorder="1" applyAlignment="1">
      <alignment vertical="center"/>
    </xf>
    <xf numFmtId="0" fontId="12" fillId="0" borderId="32" xfId="3" applyBorder="1" applyAlignment="1">
      <alignment wrapText="1"/>
    </xf>
    <xf numFmtId="166" fontId="17" fillId="2" borderId="41" xfId="0" applyNumberFormat="1" applyFont="1" applyFill="1" applyBorder="1" applyAlignment="1">
      <alignment horizontal="center" vertical="center" wrapText="1"/>
    </xf>
    <xf numFmtId="0" fontId="0" fillId="0" borderId="42" xfId="0" applyBorder="1"/>
    <xf numFmtId="0" fontId="16" fillId="0" borderId="27" xfId="0" applyFont="1" applyBorder="1" applyAlignment="1">
      <alignment horizontal="left" indent="1"/>
    </xf>
    <xf numFmtId="0" fontId="22" fillId="0" borderId="27" xfId="6" applyFont="1" applyBorder="1" applyAlignment="1">
      <alignment horizontal="left" vertical="center" indent="1"/>
    </xf>
    <xf numFmtId="0" fontId="5" fillId="0" borderId="27" xfId="7" applyBorder="1">
      <alignment horizontal="right" indent="1"/>
    </xf>
    <xf numFmtId="0" fontId="5" fillId="0" borderId="27" xfId="0" applyFont="1" applyBorder="1" applyAlignment="1">
      <alignment horizontal="center"/>
    </xf>
    <xf numFmtId="0" fontId="5" fillId="0" borderId="27" xfId="0" applyFont="1" applyBorder="1"/>
    <xf numFmtId="0" fontId="5" fillId="0" borderId="43" xfId="0" applyFont="1" applyBorder="1"/>
    <xf numFmtId="0" fontId="29" fillId="0" borderId="27" xfId="0" applyFont="1" applyBorder="1" applyAlignment="1">
      <alignment horizontal="left" indent="1"/>
    </xf>
  </cellXfs>
  <cellStyles count="14">
    <cellStyle name="20% - Accent5" xfId="13" builtinId="46"/>
    <cellStyle name="60% - Accent3" xfId="12" builtinId="40"/>
    <cellStyle name="Date" xfId="9" xr:uid="{00000000-0005-0000-0000-000009000000}"/>
    <cellStyle name="Heading 1" xfId="5" builtinId="16"/>
    <cellStyle name="Heading 2" xfId="6" builtinId="17"/>
    <cellStyle name="Heading 3" xfId="7" builtinId="18"/>
    <cellStyle name="Hyperlink" xfId="1" builtinId="8"/>
    <cellStyle name="Name" xfId="10" xr:uid="{00000000-0005-0000-0000-00000A000000}"/>
    <cellStyle name="Normal" xfId="0" builtinId="0"/>
    <cellStyle name="Percent" xfId="2" builtinId="5"/>
    <cellStyle name="Project Start" xfId="8" xr:uid="{00000000-0005-0000-0000-000008000000}"/>
    <cellStyle name="Task" xfId="11" xr:uid="{00000000-0005-0000-0000-00000B000000}"/>
    <cellStyle name="Title" xfId="4" builtinId="15"/>
    <cellStyle name="zHiddenText" xfId="3" xr:uid="{00000000-0005-0000-0000-000003000000}"/>
  </cellStyles>
  <dxfs count="21">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90500" y="95250"/>
          <a:ext cx="1905000" cy="428625"/>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excel-project-managemen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simple-gantt-chart.html?utm_source=ms&amp;utm_medium=file&amp;utm_campaign=office&amp;utm_content=text"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I48"/>
  <sheetViews>
    <sheetView showGridLines="0" tabSelected="1" showRuler="0" topLeftCell="B22" zoomScale="56" zoomScaleNormal="33" zoomScalePageLayoutView="70" workbookViewId="0">
      <selection activeCell="D53" sqref="D53"/>
    </sheetView>
  </sheetViews>
  <sheetFormatPr baseColWidth="10" defaultColWidth="8.6640625" defaultRowHeight="30" customHeight="1" x14ac:dyDescent="0.15"/>
  <cols>
    <col min="1" max="1" width="8.33203125" style="10" customWidth="1"/>
    <col min="2" max="2" width="59.5" customWidth="1"/>
    <col min="3" max="3" width="19" customWidth="1"/>
    <col min="4" max="4" width="21.1640625" customWidth="1"/>
    <col min="5" max="5" width="10.6640625" customWidth="1"/>
    <col min="6" max="6" width="10.6640625" style="2" customWidth="1"/>
    <col min="7" max="7" width="10.6640625" customWidth="1"/>
    <col min="8" max="8" width="58" customWidth="1"/>
    <col min="9" max="9" width="12.6640625" hidden="1" customWidth="1"/>
    <col min="10" max="191" width="2.33203125" customWidth="1"/>
  </cols>
  <sheetData>
    <row r="1" spans="1:191" ht="90" customHeight="1" x14ac:dyDescent="0.45">
      <c r="A1" s="69"/>
      <c r="B1" s="70" t="s">
        <v>0</v>
      </c>
      <c r="C1" s="70"/>
      <c r="D1" s="71"/>
      <c r="E1" s="72"/>
      <c r="F1" s="73"/>
      <c r="G1" s="74"/>
      <c r="H1" s="75"/>
      <c r="I1" s="76"/>
      <c r="J1" s="77" t="s">
        <v>1</v>
      </c>
      <c r="K1" s="78"/>
      <c r="L1" s="78"/>
      <c r="M1" s="78"/>
      <c r="N1" s="78"/>
      <c r="O1" s="78"/>
      <c r="P1" s="78"/>
      <c r="Q1" s="79"/>
      <c r="R1" s="80">
        <f>DATE(2025,10,1)</f>
        <v>45931</v>
      </c>
      <c r="S1" s="78"/>
      <c r="T1" s="78"/>
      <c r="U1" s="78"/>
      <c r="V1" s="78"/>
      <c r="W1" s="78"/>
      <c r="X1" s="78"/>
      <c r="Y1" s="78"/>
      <c r="Z1" s="78"/>
      <c r="AA1" s="78"/>
      <c r="AB1" s="75"/>
      <c r="AC1" s="75"/>
      <c r="AD1" s="75"/>
      <c r="AE1" s="75"/>
      <c r="AF1" s="75"/>
      <c r="AG1" s="75"/>
      <c r="AH1" s="75"/>
      <c r="AI1" s="75"/>
      <c r="AJ1" s="75"/>
      <c r="AK1" s="75"/>
      <c r="AL1" s="75"/>
      <c r="AM1" s="75"/>
      <c r="AN1" s="75"/>
      <c r="AO1" s="75"/>
      <c r="AP1" s="75"/>
      <c r="AQ1" s="75"/>
      <c r="AR1" s="75"/>
      <c r="AS1" s="75"/>
      <c r="AT1" s="75"/>
      <c r="AU1" s="75"/>
      <c r="AV1" s="75"/>
      <c r="AW1" s="75"/>
      <c r="AX1" s="75"/>
      <c r="AY1" s="75"/>
      <c r="AZ1" s="75"/>
      <c r="BA1" s="75"/>
      <c r="BB1" s="75"/>
      <c r="BC1" s="75"/>
      <c r="BD1" s="75"/>
      <c r="BE1" s="75"/>
      <c r="BF1" s="75"/>
      <c r="BG1" s="75"/>
      <c r="BH1" s="75"/>
      <c r="BI1" s="75"/>
      <c r="BJ1" s="75"/>
      <c r="BK1" s="75"/>
      <c r="BL1" s="75"/>
      <c r="BM1" s="75"/>
      <c r="BN1" s="75"/>
      <c r="BO1" s="75"/>
      <c r="BP1" s="75"/>
      <c r="BQ1" s="75"/>
      <c r="BR1" s="75"/>
      <c r="BS1" s="75"/>
      <c r="BT1" s="75"/>
      <c r="BU1" s="75"/>
      <c r="BV1" s="75"/>
      <c r="BW1" s="75"/>
      <c r="BX1" s="75"/>
      <c r="BY1" s="75"/>
      <c r="BZ1" s="75"/>
      <c r="CA1" s="75"/>
      <c r="CB1" s="75"/>
      <c r="CC1" s="75"/>
      <c r="CD1" s="75"/>
      <c r="CE1" s="75"/>
      <c r="CF1" s="75"/>
      <c r="CG1" s="75"/>
      <c r="CH1" s="75"/>
      <c r="CI1" s="75"/>
      <c r="CJ1" s="75"/>
      <c r="CK1" s="75"/>
      <c r="CL1" s="75"/>
      <c r="CM1" s="75"/>
      <c r="CN1" s="75"/>
      <c r="CO1" s="75"/>
      <c r="CP1" s="75"/>
      <c r="CQ1" s="75"/>
      <c r="CR1" s="75"/>
      <c r="CS1" s="75"/>
      <c r="CT1" s="75"/>
      <c r="CU1" s="75"/>
      <c r="CV1" s="75"/>
      <c r="CW1" s="75"/>
      <c r="CX1" s="75"/>
      <c r="CY1" s="75"/>
      <c r="CZ1" s="75"/>
      <c r="DA1" s="75"/>
      <c r="DB1" s="75"/>
      <c r="DC1" s="75"/>
      <c r="DD1" s="75"/>
      <c r="DE1" s="75"/>
      <c r="DF1" s="75"/>
      <c r="DG1" s="75"/>
      <c r="DH1" s="75"/>
      <c r="DI1" s="75"/>
      <c r="DJ1" s="75"/>
      <c r="DK1" s="75"/>
      <c r="DL1" s="75"/>
      <c r="DM1" s="75"/>
      <c r="DN1" s="75"/>
      <c r="DO1" s="75"/>
      <c r="DP1" s="75"/>
      <c r="DQ1" s="75"/>
      <c r="DR1" s="75"/>
      <c r="DS1" s="75"/>
      <c r="DT1" s="75"/>
      <c r="DU1" s="75"/>
      <c r="DV1" s="75"/>
      <c r="DW1" s="75"/>
      <c r="DX1" s="75"/>
      <c r="DY1" s="75"/>
      <c r="DZ1" s="75"/>
      <c r="EA1" s="75"/>
      <c r="EB1" s="75"/>
      <c r="EC1" s="75"/>
      <c r="ED1" s="75"/>
      <c r="EE1" s="75"/>
      <c r="EF1" s="75"/>
      <c r="EG1" s="75"/>
      <c r="EH1" s="75"/>
      <c r="EI1" s="75"/>
      <c r="EJ1" s="75"/>
      <c r="EK1" s="75"/>
      <c r="EL1" s="75"/>
      <c r="EM1" s="75"/>
      <c r="EN1" s="75"/>
      <c r="EO1" s="75"/>
      <c r="EP1" s="75"/>
      <c r="EQ1" s="75"/>
      <c r="ER1" s="75"/>
      <c r="ES1" s="75"/>
      <c r="ET1" s="75"/>
      <c r="EU1" s="75"/>
      <c r="EV1" s="75"/>
      <c r="EW1" s="75"/>
      <c r="EX1" s="75"/>
      <c r="EY1" s="75"/>
      <c r="EZ1" s="75"/>
      <c r="FA1" s="75"/>
      <c r="FB1" s="75"/>
      <c r="FC1" s="75"/>
      <c r="FD1" s="75"/>
      <c r="FE1" s="75"/>
      <c r="FF1" s="75"/>
      <c r="FG1" s="75"/>
      <c r="FH1" s="75"/>
      <c r="FI1" s="75"/>
      <c r="FJ1" s="75"/>
      <c r="FK1" s="75"/>
      <c r="FL1" s="75"/>
      <c r="FM1" s="75"/>
      <c r="FN1" s="75"/>
      <c r="FO1" s="75"/>
      <c r="FP1" s="75"/>
      <c r="FQ1" s="75"/>
      <c r="FR1" s="75"/>
      <c r="FS1" s="75"/>
      <c r="FT1" s="75"/>
      <c r="FU1" s="75"/>
      <c r="FV1" s="75"/>
      <c r="FW1" s="75"/>
      <c r="FX1" s="75"/>
      <c r="FY1" s="75"/>
      <c r="FZ1" s="75"/>
      <c r="GA1" s="75"/>
      <c r="GB1" s="75"/>
      <c r="GC1" s="75"/>
      <c r="GD1" s="75"/>
      <c r="GE1" s="75"/>
      <c r="GF1" s="75"/>
      <c r="GG1" s="75"/>
      <c r="GH1" s="75"/>
      <c r="GI1" s="81"/>
    </row>
    <row r="2" spans="1:191" ht="30" customHeight="1" x14ac:dyDescent="0.4">
      <c r="A2" s="82"/>
      <c r="B2" s="83" t="s">
        <v>2</v>
      </c>
      <c r="C2" s="83"/>
      <c r="D2" s="84"/>
      <c r="E2" s="85"/>
      <c r="F2" s="86"/>
      <c r="G2" s="85"/>
      <c r="H2" s="87"/>
      <c r="I2" s="87"/>
      <c r="J2" s="88" t="s">
        <v>3</v>
      </c>
      <c r="K2" s="89"/>
      <c r="L2" s="89"/>
      <c r="M2" s="89"/>
      <c r="N2" s="89"/>
      <c r="O2" s="89"/>
      <c r="P2" s="89"/>
      <c r="Q2" s="90"/>
      <c r="R2" s="91">
        <v>1</v>
      </c>
      <c r="S2" s="89"/>
      <c r="T2" s="89"/>
      <c r="U2" s="89"/>
      <c r="V2" s="89"/>
      <c r="W2" s="89"/>
      <c r="X2" s="89"/>
      <c r="Y2" s="89"/>
      <c r="Z2" s="89"/>
      <c r="AA2" s="89"/>
      <c r="AB2" s="87"/>
      <c r="AC2" s="87"/>
      <c r="AD2" s="87"/>
      <c r="AE2" s="87"/>
      <c r="AF2" s="87"/>
      <c r="AG2" s="87"/>
      <c r="AH2" s="87"/>
      <c r="AI2" s="87"/>
      <c r="AJ2" s="87"/>
      <c r="AK2" s="87"/>
      <c r="AL2" s="87"/>
      <c r="AM2" s="87"/>
      <c r="AN2" s="87"/>
      <c r="AO2" s="87"/>
      <c r="AP2" s="87"/>
      <c r="AQ2" s="87"/>
      <c r="AR2" s="87"/>
      <c r="AS2" s="87"/>
      <c r="AT2" s="87"/>
      <c r="AU2" s="87"/>
      <c r="AV2" s="87"/>
      <c r="AW2" s="87"/>
      <c r="AX2" s="87"/>
      <c r="AY2" s="87"/>
      <c r="AZ2" s="87"/>
      <c r="BA2" s="87"/>
      <c r="BB2" s="87"/>
      <c r="BC2" s="87"/>
      <c r="BD2" s="87"/>
      <c r="BE2" s="87"/>
      <c r="BF2" s="87"/>
      <c r="BG2" s="87"/>
      <c r="BH2" s="87"/>
      <c r="BI2" s="87"/>
      <c r="BJ2" s="87"/>
      <c r="BK2" s="87"/>
      <c r="BL2" s="87"/>
      <c r="BM2" s="87"/>
      <c r="BN2" s="87"/>
      <c r="BO2" s="87"/>
      <c r="BP2" s="87"/>
      <c r="BQ2" s="87"/>
      <c r="BR2" s="87"/>
      <c r="BS2" s="87"/>
      <c r="BT2" s="87"/>
      <c r="BU2" s="87"/>
      <c r="BV2" s="87"/>
      <c r="BW2" s="87"/>
      <c r="BX2" s="87"/>
      <c r="BY2" s="87"/>
      <c r="BZ2" s="87"/>
      <c r="CA2" s="87"/>
      <c r="CB2" s="87"/>
      <c r="CC2" s="87"/>
      <c r="CD2" s="87"/>
      <c r="CE2" s="87"/>
      <c r="CF2" s="87"/>
      <c r="CG2" s="87"/>
      <c r="CH2" s="87"/>
      <c r="CI2" s="87"/>
      <c r="CJ2" s="87"/>
      <c r="CK2" s="87"/>
      <c r="CL2" s="87"/>
      <c r="CM2" s="87"/>
      <c r="CN2" s="87"/>
      <c r="CO2" s="87"/>
      <c r="CP2" s="87"/>
      <c r="CQ2" s="87"/>
      <c r="CR2" s="87"/>
      <c r="CS2" s="87"/>
      <c r="CT2" s="87"/>
      <c r="CU2" s="87"/>
      <c r="CV2" s="87"/>
      <c r="CW2" s="87"/>
      <c r="CX2" s="87"/>
      <c r="CY2" s="87"/>
      <c r="CZ2" s="87"/>
      <c r="DA2" s="87"/>
      <c r="DB2" s="87"/>
      <c r="DC2" s="87"/>
      <c r="DD2" s="87"/>
      <c r="DE2" s="87"/>
      <c r="DF2" s="87"/>
      <c r="DG2" s="87"/>
      <c r="DH2" s="87"/>
      <c r="DI2" s="87"/>
      <c r="DJ2" s="87"/>
      <c r="DK2" s="87"/>
      <c r="DL2" s="87"/>
      <c r="DM2" s="87"/>
      <c r="DN2" s="87"/>
      <c r="DO2" s="87"/>
      <c r="DP2" s="87"/>
      <c r="DQ2" s="87"/>
      <c r="DR2" s="87"/>
      <c r="DS2" s="87"/>
      <c r="DT2" s="87"/>
      <c r="DU2" s="87"/>
      <c r="DV2" s="87"/>
      <c r="DW2" s="87"/>
      <c r="DX2" s="87"/>
      <c r="DY2" s="87"/>
      <c r="DZ2" s="87"/>
      <c r="EA2" s="87"/>
      <c r="EB2" s="87"/>
      <c r="EC2" s="87"/>
      <c r="ED2" s="87"/>
      <c r="EE2" s="87"/>
      <c r="EF2" s="87"/>
      <c r="EG2" s="87"/>
      <c r="EH2" s="87"/>
      <c r="EI2" s="87"/>
      <c r="EJ2" s="87"/>
      <c r="EK2" s="87"/>
      <c r="EL2" s="87"/>
      <c r="EM2" s="87"/>
      <c r="EN2" s="87"/>
      <c r="EO2" s="87"/>
      <c r="EP2" s="87"/>
      <c r="EQ2" s="87"/>
      <c r="ER2" s="87"/>
      <c r="ES2" s="87"/>
      <c r="ET2" s="87"/>
      <c r="EU2" s="87"/>
      <c r="EV2" s="87"/>
      <c r="EW2" s="87"/>
      <c r="EX2" s="87"/>
      <c r="EY2" s="87"/>
      <c r="EZ2" s="87"/>
      <c r="FA2" s="87"/>
      <c r="FB2" s="87"/>
      <c r="FC2" s="87"/>
      <c r="FD2" s="87"/>
      <c r="FE2" s="87"/>
      <c r="FF2" s="87"/>
      <c r="FG2" s="87"/>
      <c r="FH2" s="87"/>
      <c r="FI2" s="87"/>
      <c r="FJ2" s="87"/>
      <c r="FK2" s="87"/>
      <c r="FL2" s="87"/>
      <c r="FM2" s="87"/>
      <c r="FN2" s="87"/>
      <c r="FO2" s="87"/>
      <c r="FP2" s="87"/>
      <c r="FQ2" s="87"/>
      <c r="FR2" s="87"/>
      <c r="FS2" s="87"/>
      <c r="FT2" s="87"/>
      <c r="FU2" s="87"/>
      <c r="FV2" s="87"/>
      <c r="FW2" s="87"/>
      <c r="FX2" s="87"/>
      <c r="FY2" s="87"/>
      <c r="FZ2" s="87"/>
      <c r="GA2" s="87"/>
      <c r="GB2" s="87"/>
      <c r="GC2" s="87"/>
      <c r="GD2" s="87"/>
      <c r="GE2" s="87"/>
      <c r="GF2" s="87"/>
      <c r="GG2" s="87"/>
      <c r="GH2" s="87"/>
      <c r="GI2" s="92"/>
    </row>
    <row r="3" spans="1:191" s="11" customFormat="1" ht="30" customHeight="1" thickBot="1" x14ac:dyDescent="0.3">
      <c r="A3" s="114"/>
      <c r="B3" s="141" t="s">
        <v>4</v>
      </c>
      <c r="C3" s="135"/>
      <c r="D3" s="136" t="s">
        <v>5</v>
      </c>
      <c r="E3" s="137"/>
      <c r="F3" s="138"/>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40"/>
    </row>
    <row r="4" spans="1:191" s="11" customFormat="1" ht="30" customHeight="1" x14ac:dyDescent="0.15">
      <c r="A4" s="132"/>
      <c r="B4" s="94"/>
      <c r="C4" s="94"/>
      <c r="D4" s="93"/>
      <c r="E4" s="93"/>
      <c r="F4" s="95"/>
      <c r="G4" s="93"/>
      <c r="H4" s="93"/>
      <c r="I4" s="93"/>
      <c r="J4" s="65">
        <f>DATE(2025,10,1)</f>
        <v>45931</v>
      </c>
      <c r="K4" s="63"/>
      <c r="L4" s="63"/>
      <c r="M4" s="63"/>
      <c r="N4" s="63"/>
      <c r="O4" s="63"/>
      <c r="P4" s="63"/>
      <c r="Q4" s="63"/>
      <c r="R4" s="63"/>
      <c r="S4" s="63"/>
      <c r="T4" s="63"/>
      <c r="U4" s="63"/>
      <c r="V4" s="63"/>
      <c r="W4" s="66"/>
      <c r="X4" s="133" t="s">
        <v>6</v>
      </c>
      <c r="Y4" s="63"/>
      <c r="Z4" s="63"/>
      <c r="AA4" s="63"/>
      <c r="AB4" s="63"/>
      <c r="AC4" s="63"/>
      <c r="AD4" s="63"/>
      <c r="AE4" s="63"/>
      <c r="AF4" s="63"/>
      <c r="AG4" s="63"/>
      <c r="AH4" s="63"/>
      <c r="AI4" s="63"/>
      <c r="AJ4" s="63"/>
      <c r="AK4" s="66"/>
      <c r="AL4" s="133" t="s">
        <v>7</v>
      </c>
      <c r="AM4" s="63"/>
      <c r="AN4" s="63"/>
      <c r="AO4" s="63"/>
      <c r="AP4" s="63"/>
      <c r="AQ4" s="63"/>
      <c r="AR4" s="63"/>
      <c r="AS4" s="63"/>
      <c r="AT4" s="63"/>
      <c r="AU4" s="63"/>
      <c r="AV4" s="63"/>
      <c r="AW4" s="63"/>
      <c r="AX4" s="63"/>
      <c r="AY4" s="66"/>
      <c r="AZ4" s="133" t="s">
        <v>8</v>
      </c>
      <c r="BA4" s="63"/>
      <c r="BB4" s="63"/>
      <c r="BC4" s="63"/>
      <c r="BD4" s="63"/>
      <c r="BE4" s="63"/>
      <c r="BF4" s="63"/>
      <c r="BG4" s="63"/>
      <c r="BH4" s="63"/>
      <c r="BI4" s="63"/>
      <c r="BJ4" s="63"/>
      <c r="BK4" s="63"/>
      <c r="BL4" s="63"/>
      <c r="BM4" s="66"/>
      <c r="BN4" s="133" t="s">
        <v>9</v>
      </c>
      <c r="BO4" s="63"/>
      <c r="BP4" s="63"/>
      <c r="BQ4" s="63"/>
      <c r="BR4" s="63"/>
      <c r="BS4" s="63"/>
      <c r="BT4" s="63"/>
      <c r="BU4" s="63"/>
      <c r="BV4" s="63"/>
      <c r="BW4" s="63"/>
      <c r="BX4" s="63"/>
      <c r="BY4" s="63"/>
      <c r="BZ4" s="63"/>
      <c r="CA4" s="66"/>
      <c r="CB4" s="133" t="s">
        <v>10</v>
      </c>
      <c r="CC4" s="63"/>
      <c r="CD4" s="63"/>
      <c r="CE4" s="63"/>
      <c r="CF4" s="63"/>
      <c r="CG4" s="63"/>
      <c r="CH4" s="63"/>
      <c r="CI4" s="63"/>
      <c r="CJ4" s="63"/>
      <c r="CK4" s="63"/>
      <c r="CL4" s="63"/>
      <c r="CM4" s="63"/>
      <c r="CN4" s="63"/>
      <c r="CO4" s="66"/>
      <c r="CP4" s="133" t="s">
        <v>11</v>
      </c>
      <c r="CQ4" s="63"/>
      <c r="CR4" s="63"/>
      <c r="CS4" s="63"/>
      <c r="CT4" s="63"/>
      <c r="CU4" s="63"/>
      <c r="CV4" s="63"/>
      <c r="CW4" s="63"/>
      <c r="CX4" s="63"/>
      <c r="CY4" s="63"/>
      <c r="CZ4" s="63"/>
      <c r="DA4" s="63"/>
      <c r="DB4" s="63"/>
      <c r="DC4" s="66"/>
      <c r="DD4" s="133" t="s">
        <v>12</v>
      </c>
      <c r="DE4" s="63"/>
      <c r="DF4" s="63"/>
      <c r="DG4" s="63"/>
      <c r="DH4" s="63"/>
      <c r="DI4" s="63"/>
      <c r="DJ4" s="63"/>
      <c r="DK4" s="63"/>
      <c r="DL4" s="63"/>
      <c r="DM4" s="63"/>
      <c r="DN4" s="63"/>
      <c r="DO4" s="63"/>
      <c r="DP4" s="63"/>
      <c r="DQ4" s="66"/>
      <c r="DR4" s="133" t="s">
        <v>13</v>
      </c>
      <c r="DS4" s="63"/>
      <c r="DT4" s="63"/>
      <c r="DU4" s="63"/>
      <c r="DV4" s="63"/>
      <c r="DW4" s="63"/>
      <c r="DX4" s="63"/>
      <c r="DY4" s="63"/>
      <c r="DZ4" s="63"/>
      <c r="EA4" s="63"/>
      <c r="EB4" s="63"/>
      <c r="EC4" s="63"/>
      <c r="ED4" s="63"/>
      <c r="EE4" s="66"/>
      <c r="EF4" s="133" t="s">
        <v>14</v>
      </c>
      <c r="EG4" s="63"/>
      <c r="EH4" s="63"/>
      <c r="EI4" s="63"/>
      <c r="EJ4" s="63"/>
      <c r="EK4" s="63"/>
      <c r="EL4" s="63"/>
      <c r="EM4" s="63"/>
      <c r="EN4" s="63"/>
      <c r="EO4" s="63"/>
      <c r="EP4" s="63"/>
      <c r="EQ4" s="63"/>
      <c r="ER4" s="63"/>
      <c r="ES4" s="66"/>
      <c r="ET4" s="133" t="s">
        <v>15</v>
      </c>
      <c r="EU4" s="63"/>
      <c r="EV4" s="63"/>
      <c r="EW4" s="63"/>
      <c r="EX4" s="63"/>
      <c r="EY4" s="63"/>
      <c r="EZ4" s="63"/>
      <c r="FA4" s="63"/>
      <c r="FB4" s="63"/>
      <c r="FC4" s="63"/>
      <c r="FD4" s="63"/>
      <c r="FE4" s="63"/>
      <c r="FF4" s="63"/>
      <c r="FG4" s="66"/>
      <c r="FH4" s="133" t="s">
        <v>16</v>
      </c>
      <c r="FI4" s="63"/>
      <c r="FJ4" s="63"/>
      <c r="FK4" s="63"/>
      <c r="FL4" s="63"/>
      <c r="FM4" s="63"/>
      <c r="FN4" s="63"/>
      <c r="FO4" s="63"/>
      <c r="FP4" s="63"/>
      <c r="FQ4" s="63"/>
      <c r="FR4" s="63"/>
      <c r="FS4" s="63"/>
      <c r="FT4" s="63"/>
      <c r="FU4" s="66"/>
      <c r="FV4" s="133" t="s">
        <v>17</v>
      </c>
      <c r="FW4" s="63"/>
      <c r="FX4" s="63"/>
      <c r="FY4" s="63"/>
      <c r="FZ4" s="63"/>
      <c r="GA4" s="63"/>
      <c r="GB4" s="63"/>
      <c r="GC4" s="63"/>
      <c r="GD4" s="63"/>
      <c r="GE4" s="63"/>
      <c r="GF4" s="63"/>
      <c r="GG4" s="63"/>
      <c r="GH4" s="63"/>
      <c r="GI4" s="134"/>
    </row>
    <row r="5" spans="1:191" s="11" customFormat="1" ht="15" customHeight="1" x14ac:dyDescent="0.15">
      <c r="A5" s="115" t="s">
        <v>18</v>
      </c>
      <c r="B5" s="64" t="s">
        <v>19</v>
      </c>
      <c r="C5" s="64" t="s">
        <v>20</v>
      </c>
      <c r="D5" s="67" t="s">
        <v>21</v>
      </c>
      <c r="E5" s="62" t="s">
        <v>22</v>
      </c>
      <c r="F5" s="62" t="s">
        <v>23</v>
      </c>
      <c r="G5" s="62" t="s">
        <v>24</v>
      </c>
      <c r="H5" s="62" t="s">
        <v>25</v>
      </c>
      <c r="I5" s="93"/>
      <c r="J5" s="12">
        <f>Project_Start-WEEKDAY(Project_Start,1)+2+7*(Display_Week-1)</f>
        <v>45929</v>
      </c>
      <c r="K5" s="12">
        <f t="shared" ref="K5:AP5" si="0">J5+1</f>
        <v>45930</v>
      </c>
      <c r="L5" s="12">
        <f t="shared" si="0"/>
        <v>45931</v>
      </c>
      <c r="M5" s="12">
        <f t="shared" si="0"/>
        <v>45932</v>
      </c>
      <c r="N5" s="12">
        <f t="shared" si="0"/>
        <v>45933</v>
      </c>
      <c r="O5" s="12">
        <f t="shared" si="0"/>
        <v>45934</v>
      </c>
      <c r="P5" s="13">
        <f t="shared" si="0"/>
        <v>45935</v>
      </c>
      <c r="Q5" s="14">
        <f t="shared" si="0"/>
        <v>45936</v>
      </c>
      <c r="R5" s="12">
        <f t="shared" si="0"/>
        <v>45937</v>
      </c>
      <c r="S5" s="12">
        <f t="shared" si="0"/>
        <v>45938</v>
      </c>
      <c r="T5" s="12">
        <f t="shared" si="0"/>
        <v>45939</v>
      </c>
      <c r="U5" s="12">
        <f t="shared" si="0"/>
        <v>45940</v>
      </c>
      <c r="V5" s="12">
        <f t="shared" si="0"/>
        <v>45941</v>
      </c>
      <c r="W5" s="13">
        <f t="shared" si="0"/>
        <v>45942</v>
      </c>
      <c r="X5" s="14">
        <f t="shared" si="0"/>
        <v>45943</v>
      </c>
      <c r="Y5" s="12">
        <f t="shared" si="0"/>
        <v>45944</v>
      </c>
      <c r="Z5" s="12">
        <f t="shared" si="0"/>
        <v>45945</v>
      </c>
      <c r="AA5" s="12">
        <f t="shared" si="0"/>
        <v>45946</v>
      </c>
      <c r="AB5" s="12">
        <f t="shared" si="0"/>
        <v>45947</v>
      </c>
      <c r="AC5" s="12">
        <f t="shared" si="0"/>
        <v>45948</v>
      </c>
      <c r="AD5" s="13">
        <f t="shared" si="0"/>
        <v>45949</v>
      </c>
      <c r="AE5" s="14">
        <f t="shared" si="0"/>
        <v>45950</v>
      </c>
      <c r="AF5" s="12">
        <f t="shared" si="0"/>
        <v>45951</v>
      </c>
      <c r="AG5" s="12">
        <f t="shared" si="0"/>
        <v>45952</v>
      </c>
      <c r="AH5" s="12">
        <f t="shared" si="0"/>
        <v>45953</v>
      </c>
      <c r="AI5" s="12">
        <f t="shared" si="0"/>
        <v>45954</v>
      </c>
      <c r="AJ5" s="12">
        <f t="shared" si="0"/>
        <v>45955</v>
      </c>
      <c r="AK5" s="13">
        <f t="shared" si="0"/>
        <v>45956</v>
      </c>
      <c r="AL5" s="14">
        <f t="shared" si="0"/>
        <v>45957</v>
      </c>
      <c r="AM5" s="12">
        <f t="shared" si="0"/>
        <v>45958</v>
      </c>
      <c r="AN5" s="12">
        <f t="shared" si="0"/>
        <v>45959</v>
      </c>
      <c r="AO5" s="12">
        <f t="shared" si="0"/>
        <v>45960</v>
      </c>
      <c r="AP5" s="12">
        <f t="shared" si="0"/>
        <v>45961</v>
      </c>
      <c r="AQ5" s="12">
        <f t="shared" ref="AQ5:BV5" si="1">AP5+1</f>
        <v>45962</v>
      </c>
      <c r="AR5" s="13">
        <f t="shared" si="1"/>
        <v>45963</v>
      </c>
      <c r="AS5" s="14">
        <f t="shared" si="1"/>
        <v>45964</v>
      </c>
      <c r="AT5" s="12">
        <f t="shared" si="1"/>
        <v>45965</v>
      </c>
      <c r="AU5" s="12">
        <f t="shared" si="1"/>
        <v>45966</v>
      </c>
      <c r="AV5" s="12">
        <f t="shared" si="1"/>
        <v>45967</v>
      </c>
      <c r="AW5" s="12">
        <f t="shared" si="1"/>
        <v>45968</v>
      </c>
      <c r="AX5" s="12">
        <f t="shared" si="1"/>
        <v>45969</v>
      </c>
      <c r="AY5" s="13">
        <f t="shared" si="1"/>
        <v>45970</v>
      </c>
      <c r="AZ5" s="14">
        <f t="shared" si="1"/>
        <v>45971</v>
      </c>
      <c r="BA5" s="12">
        <f t="shared" si="1"/>
        <v>45972</v>
      </c>
      <c r="BB5" s="12">
        <f t="shared" si="1"/>
        <v>45973</v>
      </c>
      <c r="BC5" s="12">
        <f t="shared" si="1"/>
        <v>45974</v>
      </c>
      <c r="BD5" s="12">
        <f t="shared" si="1"/>
        <v>45975</v>
      </c>
      <c r="BE5" s="12">
        <f t="shared" si="1"/>
        <v>45976</v>
      </c>
      <c r="BF5" s="13">
        <f t="shared" si="1"/>
        <v>45977</v>
      </c>
      <c r="BG5" s="14">
        <f t="shared" si="1"/>
        <v>45978</v>
      </c>
      <c r="BH5" s="12">
        <f t="shared" si="1"/>
        <v>45979</v>
      </c>
      <c r="BI5" s="12">
        <f t="shared" si="1"/>
        <v>45980</v>
      </c>
      <c r="BJ5" s="12">
        <f t="shared" si="1"/>
        <v>45981</v>
      </c>
      <c r="BK5" s="12">
        <f t="shared" si="1"/>
        <v>45982</v>
      </c>
      <c r="BL5" s="12">
        <f t="shared" si="1"/>
        <v>45983</v>
      </c>
      <c r="BM5" s="12">
        <f t="shared" si="1"/>
        <v>45984</v>
      </c>
      <c r="BN5" s="12">
        <f t="shared" si="1"/>
        <v>45985</v>
      </c>
      <c r="BO5" s="12">
        <f t="shared" si="1"/>
        <v>45986</v>
      </c>
      <c r="BP5" s="12">
        <f t="shared" si="1"/>
        <v>45987</v>
      </c>
      <c r="BQ5" s="12">
        <f t="shared" si="1"/>
        <v>45988</v>
      </c>
      <c r="BR5" s="12">
        <f t="shared" si="1"/>
        <v>45989</v>
      </c>
      <c r="BS5" s="12">
        <f t="shared" si="1"/>
        <v>45990</v>
      </c>
      <c r="BT5" s="12">
        <f t="shared" si="1"/>
        <v>45991</v>
      </c>
      <c r="BU5" s="12">
        <f t="shared" si="1"/>
        <v>45992</v>
      </c>
      <c r="BV5" s="12">
        <f t="shared" si="1"/>
        <v>45993</v>
      </c>
      <c r="BW5" s="12">
        <f t="shared" ref="BW5:DB5" si="2">BV5+1</f>
        <v>45994</v>
      </c>
      <c r="BX5" s="12">
        <f t="shared" si="2"/>
        <v>45995</v>
      </c>
      <c r="BY5" s="12">
        <f t="shared" si="2"/>
        <v>45996</v>
      </c>
      <c r="BZ5" s="12">
        <f t="shared" si="2"/>
        <v>45997</v>
      </c>
      <c r="CA5" s="12">
        <f t="shared" si="2"/>
        <v>45998</v>
      </c>
      <c r="CB5" s="12">
        <f t="shared" si="2"/>
        <v>45999</v>
      </c>
      <c r="CC5" s="12">
        <f t="shared" si="2"/>
        <v>46000</v>
      </c>
      <c r="CD5" s="12">
        <f t="shared" si="2"/>
        <v>46001</v>
      </c>
      <c r="CE5" s="12">
        <f t="shared" si="2"/>
        <v>46002</v>
      </c>
      <c r="CF5" s="12">
        <f t="shared" si="2"/>
        <v>46003</v>
      </c>
      <c r="CG5" s="12">
        <f t="shared" si="2"/>
        <v>46004</v>
      </c>
      <c r="CH5" s="12">
        <f t="shared" si="2"/>
        <v>46005</v>
      </c>
      <c r="CI5" s="12">
        <f t="shared" si="2"/>
        <v>46006</v>
      </c>
      <c r="CJ5" s="12">
        <f t="shared" si="2"/>
        <v>46007</v>
      </c>
      <c r="CK5" s="12">
        <f t="shared" si="2"/>
        <v>46008</v>
      </c>
      <c r="CL5" s="12">
        <f t="shared" si="2"/>
        <v>46009</v>
      </c>
      <c r="CM5" s="12">
        <f t="shared" si="2"/>
        <v>46010</v>
      </c>
      <c r="CN5" s="12">
        <f t="shared" si="2"/>
        <v>46011</v>
      </c>
      <c r="CO5" s="12">
        <f t="shared" si="2"/>
        <v>46012</v>
      </c>
      <c r="CP5" s="12">
        <f t="shared" si="2"/>
        <v>46013</v>
      </c>
      <c r="CQ5" s="12">
        <f t="shared" si="2"/>
        <v>46014</v>
      </c>
      <c r="CR5" s="12">
        <f t="shared" si="2"/>
        <v>46015</v>
      </c>
      <c r="CS5" s="12">
        <f t="shared" si="2"/>
        <v>46016</v>
      </c>
      <c r="CT5" s="12">
        <f t="shared" si="2"/>
        <v>46017</v>
      </c>
      <c r="CU5" s="12">
        <f t="shared" si="2"/>
        <v>46018</v>
      </c>
      <c r="CV5" s="12">
        <f t="shared" si="2"/>
        <v>46019</v>
      </c>
      <c r="CW5" s="12">
        <f t="shared" si="2"/>
        <v>46020</v>
      </c>
      <c r="CX5" s="12">
        <f t="shared" si="2"/>
        <v>46021</v>
      </c>
      <c r="CY5" s="12">
        <f t="shared" si="2"/>
        <v>46022</v>
      </c>
      <c r="CZ5" s="12">
        <f t="shared" si="2"/>
        <v>46023</v>
      </c>
      <c r="DA5" s="12">
        <f t="shared" si="2"/>
        <v>46024</v>
      </c>
      <c r="DB5" s="12">
        <f t="shared" si="2"/>
        <v>46025</v>
      </c>
      <c r="DC5" s="12">
        <f t="shared" ref="DC5:EH5" si="3">DB5+1</f>
        <v>46026</v>
      </c>
      <c r="DD5" s="12">
        <f t="shared" si="3"/>
        <v>46027</v>
      </c>
      <c r="DE5" s="12">
        <f t="shared" si="3"/>
        <v>46028</v>
      </c>
      <c r="DF5" s="12">
        <f t="shared" si="3"/>
        <v>46029</v>
      </c>
      <c r="DG5" s="12">
        <f t="shared" si="3"/>
        <v>46030</v>
      </c>
      <c r="DH5" s="12">
        <f t="shared" si="3"/>
        <v>46031</v>
      </c>
      <c r="DI5" s="12">
        <f t="shared" si="3"/>
        <v>46032</v>
      </c>
      <c r="DJ5" s="12">
        <f t="shared" si="3"/>
        <v>46033</v>
      </c>
      <c r="DK5" s="12">
        <f t="shared" si="3"/>
        <v>46034</v>
      </c>
      <c r="DL5" s="12">
        <f t="shared" si="3"/>
        <v>46035</v>
      </c>
      <c r="DM5" s="12">
        <f t="shared" si="3"/>
        <v>46036</v>
      </c>
      <c r="DN5" s="12">
        <f t="shared" si="3"/>
        <v>46037</v>
      </c>
      <c r="DO5" s="12">
        <f t="shared" si="3"/>
        <v>46038</v>
      </c>
      <c r="DP5" s="12">
        <f t="shared" si="3"/>
        <v>46039</v>
      </c>
      <c r="DQ5" s="12">
        <f t="shared" si="3"/>
        <v>46040</v>
      </c>
      <c r="DR5" s="12">
        <f t="shared" si="3"/>
        <v>46041</v>
      </c>
      <c r="DS5" s="12">
        <f t="shared" si="3"/>
        <v>46042</v>
      </c>
      <c r="DT5" s="12">
        <f t="shared" si="3"/>
        <v>46043</v>
      </c>
      <c r="DU5" s="12">
        <f t="shared" si="3"/>
        <v>46044</v>
      </c>
      <c r="DV5" s="12">
        <f t="shared" si="3"/>
        <v>46045</v>
      </c>
      <c r="DW5" s="12">
        <f t="shared" si="3"/>
        <v>46046</v>
      </c>
      <c r="DX5" s="12">
        <f t="shared" si="3"/>
        <v>46047</v>
      </c>
      <c r="DY5" s="12">
        <f t="shared" si="3"/>
        <v>46048</v>
      </c>
      <c r="DZ5" s="12">
        <f t="shared" si="3"/>
        <v>46049</v>
      </c>
      <c r="EA5" s="12">
        <f t="shared" si="3"/>
        <v>46050</v>
      </c>
      <c r="EB5" s="12">
        <f t="shared" si="3"/>
        <v>46051</v>
      </c>
      <c r="EC5" s="12">
        <f t="shared" si="3"/>
        <v>46052</v>
      </c>
      <c r="ED5" s="12">
        <f t="shared" si="3"/>
        <v>46053</v>
      </c>
      <c r="EE5" s="12">
        <f t="shared" si="3"/>
        <v>46054</v>
      </c>
      <c r="EF5" s="12">
        <f t="shared" si="3"/>
        <v>46055</v>
      </c>
      <c r="EG5" s="12">
        <f t="shared" si="3"/>
        <v>46056</v>
      </c>
      <c r="EH5" s="12">
        <f t="shared" si="3"/>
        <v>46057</v>
      </c>
      <c r="EI5" s="12">
        <f t="shared" ref="EI5:FN5" si="4">EH5+1</f>
        <v>46058</v>
      </c>
      <c r="EJ5" s="12">
        <f t="shared" si="4"/>
        <v>46059</v>
      </c>
      <c r="EK5" s="12">
        <f t="shared" si="4"/>
        <v>46060</v>
      </c>
      <c r="EL5" s="12">
        <f t="shared" si="4"/>
        <v>46061</v>
      </c>
      <c r="EM5" s="12">
        <f t="shared" si="4"/>
        <v>46062</v>
      </c>
      <c r="EN5" s="12">
        <f t="shared" si="4"/>
        <v>46063</v>
      </c>
      <c r="EO5" s="12">
        <f t="shared" si="4"/>
        <v>46064</v>
      </c>
      <c r="EP5" s="12">
        <f t="shared" si="4"/>
        <v>46065</v>
      </c>
      <c r="EQ5" s="12">
        <f t="shared" si="4"/>
        <v>46066</v>
      </c>
      <c r="ER5" s="12">
        <f t="shared" si="4"/>
        <v>46067</v>
      </c>
      <c r="ES5" s="12">
        <f t="shared" si="4"/>
        <v>46068</v>
      </c>
      <c r="ET5" s="12">
        <f t="shared" si="4"/>
        <v>46069</v>
      </c>
      <c r="EU5" s="12">
        <f t="shared" si="4"/>
        <v>46070</v>
      </c>
      <c r="EV5" s="12">
        <f t="shared" si="4"/>
        <v>46071</v>
      </c>
      <c r="EW5" s="12">
        <f t="shared" si="4"/>
        <v>46072</v>
      </c>
      <c r="EX5" s="12">
        <f t="shared" si="4"/>
        <v>46073</v>
      </c>
      <c r="EY5" s="12">
        <f t="shared" si="4"/>
        <v>46074</v>
      </c>
      <c r="EZ5" s="12">
        <f t="shared" si="4"/>
        <v>46075</v>
      </c>
      <c r="FA5" s="12">
        <f t="shared" si="4"/>
        <v>46076</v>
      </c>
      <c r="FB5" s="12">
        <f t="shared" si="4"/>
        <v>46077</v>
      </c>
      <c r="FC5" s="12">
        <f t="shared" si="4"/>
        <v>46078</v>
      </c>
      <c r="FD5" s="12">
        <f t="shared" si="4"/>
        <v>46079</v>
      </c>
      <c r="FE5" s="12">
        <f t="shared" si="4"/>
        <v>46080</v>
      </c>
      <c r="FF5" s="12">
        <f t="shared" si="4"/>
        <v>46081</v>
      </c>
      <c r="FG5" s="12">
        <f t="shared" si="4"/>
        <v>46082</v>
      </c>
      <c r="FH5" s="12">
        <f t="shared" si="4"/>
        <v>46083</v>
      </c>
      <c r="FI5" s="12">
        <f t="shared" si="4"/>
        <v>46084</v>
      </c>
      <c r="FJ5" s="12">
        <f t="shared" si="4"/>
        <v>46085</v>
      </c>
      <c r="FK5" s="12">
        <f t="shared" si="4"/>
        <v>46086</v>
      </c>
      <c r="FL5" s="12">
        <f t="shared" si="4"/>
        <v>46087</v>
      </c>
      <c r="FM5" s="12">
        <f t="shared" si="4"/>
        <v>46088</v>
      </c>
      <c r="FN5" s="12">
        <f t="shared" si="4"/>
        <v>46089</v>
      </c>
      <c r="FO5" s="12">
        <f t="shared" ref="FO5:GI5" si="5">FN5+1</f>
        <v>46090</v>
      </c>
      <c r="FP5" s="12">
        <f t="shared" si="5"/>
        <v>46091</v>
      </c>
      <c r="FQ5" s="12">
        <f t="shared" si="5"/>
        <v>46092</v>
      </c>
      <c r="FR5" s="12">
        <f t="shared" si="5"/>
        <v>46093</v>
      </c>
      <c r="FS5" s="12">
        <f t="shared" si="5"/>
        <v>46094</v>
      </c>
      <c r="FT5" s="12">
        <f t="shared" si="5"/>
        <v>46095</v>
      </c>
      <c r="FU5" s="12">
        <f t="shared" si="5"/>
        <v>46096</v>
      </c>
      <c r="FV5" s="12">
        <f t="shared" si="5"/>
        <v>46097</v>
      </c>
      <c r="FW5" s="12">
        <f t="shared" si="5"/>
        <v>46098</v>
      </c>
      <c r="FX5" s="12">
        <f t="shared" si="5"/>
        <v>46099</v>
      </c>
      <c r="FY5" s="12">
        <f t="shared" si="5"/>
        <v>46100</v>
      </c>
      <c r="FZ5" s="12">
        <f t="shared" si="5"/>
        <v>46101</v>
      </c>
      <c r="GA5" s="12">
        <f t="shared" si="5"/>
        <v>46102</v>
      </c>
      <c r="GB5" s="12">
        <f t="shared" si="5"/>
        <v>46103</v>
      </c>
      <c r="GC5" s="12">
        <f t="shared" si="5"/>
        <v>46104</v>
      </c>
      <c r="GD5" s="12">
        <f t="shared" si="5"/>
        <v>46105</v>
      </c>
      <c r="GE5" s="12">
        <f t="shared" si="5"/>
        <v>46106</v>
      </c>
      <c r="GF5" s="12">
        <f t="shared" si="5"/>
        <v>46107</v>
      </c>
      <c r="GG5" s="12">
        <f t="shared" si="5"/>
        <v>46108</v>
      </c>
      <c r="GH5" s="12">
        <f t="shared" si="5"/>
        <v>46109</v>
      </c>
      <c r="GI5" s="116">
        <f t="shared" si="5"/>
        <v>46110</v>
      </c>
    </row>
    <row r="6" spans="1:191" s="11" customFormat="1" ht="15" customHeight="1" thickBot="1" x14ac:dyDescent="0.2">
      <c r="A6" s="117"/>
      <c r="B6" s="63"/>
      <c r="C6" s="63"/>
      <c r="D6" s="63"/>
      <c r="E6" s="63"/>
      <c r="F6" s="63"/>
      <c r="G6" s="63"/>
      <c r="H6" s="63"/>
      <c r="I6" s="93"/>
      <c r="J6" s="15" t="str">
        <f t="shared" ref="J6:AO6" si="6">LEFT(TEXT(J5,"ddd"),1)</f>
        <v>M</v>
      </c>
      <c r="K6" s="16" t="str">
        <f t="shared" si="6"/>
        <v>T</v>
      </c>
      <c r="L6" s="16" t="str">
        <f t="shared" si="6"/>
        <v>W</v>
      </c>
      <c r="M6" s="16" t="str">
        <f t="shared" si="6"/>
        <v>T</v>
      </c>
      <c r="N6" s="16" t="str">
        <f t="shared" si="6"/>
        <v>F</v>
      </c>
      <c r="O6" s="16" t="str">
        <f t="shared" si="6"/>
        <v>S</v>
      </c>
      <c r="P6" s="16" t="str">
        <f t="shared" si="6"/>
        <v>S</v>
      </c>
      <c r="Q6" s="16" t="str">
        <f t="shared" si="6"/>
        <v>M</v>
      </c>
      <c r="R6" s="16" t="str">
        <f t="shared" si="6"/>
        <v>T</v>
      </c>
      <c r="S6" s="16" t="str">
        <f t="shared" si="6"/>
        <v>W</v>
      </c>
      <c r="T6" s="16" t="str">
        <f t="shared" si="6"/>
        <v>T</v>
      </c>
      <c r="U6" s="16" t="str">
        <f t="shared" si="6"/>
        <v>F</v>
      </c>
      <c r="V6" s="16" t="str">
        <f t="shared" si="6"/>
        <v>S</v>
      </c>
      <c r="W6" s="16" t="str">
        <f t="shared" si="6"/>
        <v>S</v>
      </c>
      <c r="X6" s="16" t="str">
        <f t="shared" si="6"/>
        <v>M</v>
      </c>
      <c r="Y6" s="16" t="str">
        <f t="shared" si="6"/>
        <v>T</v>
      </c>
      <c r="Z6" s="16" t="str">
        <f t="shared" si="6"/>
        <v>W</v>
      </c>
      <c r="AA6" s="16" t="str">
        <f t="shared" si="6"/>
        <v>T</v>
      </c>
      <c r="AB6" s="16" t="str">
        <f t="shared" si="6"/>
        <v>F</v>
      </c>
      <c r="AC6" s="16" t="str">
        <f t="shared" si="6"/>
        <v>S</v>
      </c>
      <c r="AD6" s="16" t="str">
        <f t="shared" si="6"/>
        <v>S</v>
      </c>
      <c r="AE6" s="16" t="str">
        <f t="shared" si="6"/>
        <v>M</v>
      </c>
      <c r="AF6" s="16" t="str">
        <f t="shared" si="6"/>
        <v>T</v>
      </c>
      <c r="AG6" s="16" t="str">
        <f t="shared" si="6"/>
        <v>W</v>
      </c>
      <c r="AH6" s="16" t="str">
        <f t="shared" si="6"/>
        <v>T</v>
      </c>
      <c r="AI6" s="16" t="str">
        <f t="shared" si="6"/>
        <v>F</v>
      </c>
      <c r="AJ6" s="16" t="str">
        <f t="shared" si="6"/>
        <v>S</v>
      </c>
      <c r="AK6" s="16" t="str">
        <f t="shared" si="6"/>
        <v>S</v>
      </c>
      <c r="AL6" s="16" t="str">
        <f t="shared" si="6"/>
        <v>M</v>
      </c>
      <c r="AM6" s="16" t="str">
        <f t="shared" si="6"/>
        <v>T</v>
      </c>
      <c r="AN6" s="16" t="str">
        <f t="shared" si="6"/>
        <v>W</v>
      </c>
      <c r="AO6" s="16" t="str">
        <f t="shared" si="6"/>
        <v>T</v>
      </c>
      <c r="AP6" s="16" t="str">
        <f t="shared" ref="AP6:BU6" si="7">LEFT(TEXT(AP5,"ddd"),1)</f>
        <v>F</v>
      </c>
      <c r="AQ6" s="16" t="str">
        <f t="shared" si="7"/>
        <v>S</v>
      </c>
      <c r="AR6" s="16" t="str">
        <f t="shared" si="7"/>
        <v>S</v>
      </c>
      <c r="AS6" s="16" t="str">
        <f t="shared" si="7"/>
        <v>M</v>
      </c>
      <c r="AT6" s="16" t="str">
        <f t="shared" si="7"/>
        <v>T</v>
      </c>
      <c r="AU6" s="16" t="str">
        <f t="shared" si="7"/>
        <v>W</v>
      </c>
      <c r="AV6" s="16" t="str">
        <f t="shared" si="7"/>
        <v>T</v>
      </c>
      <c r="AW6" s="16" t="str">
        <f t="shared" si="7"/>
        <v>F</v>
      </c>
      <c r="AX6" s="16" t="str">
        <f t="shared" si="7"/>
        <v>S</v>
      </c>
      <c r="AY6" s="16" t="str">
        <f t="shared" si="7"/>
        <v>S</v>
      </c>
      <c r="AZ6" s="16" t="str">
        <f t="shared" si="7"/>
        <v>M</v>
      </c>
      <c r="BA6" s="16" t="str">
        <f t="shared" si="7"/>
        <v>T</v>
      </c>
      <c r="BB6" s="16" t="str">
        <f t="shared" si="7"/>
        <v>W</v>
      </c>
      <c r="BC6" s="16" t="str">
        <f t="shared" si="7"/>
        <v>T</v>
      </c>
      <c r="BD6" s="16" t="str">
        <f t="shared" si="7"/>
        <v>F</v>
      </c>
      <c r="BE6" s="16" t="str">
        <f t="shared" si="7"/>
        <v>S</v>
      </c>
      <c r="BF6" s="16" t="str">
        <f t="shared" si="7"/>
        <v>S</v>
      </c>
      <c r="BG6" s="16" t="str">
        <f t="shared" si="7"/>
        <v>M</v>
      </c>
      <c r="BH6" s="16" t="str">
        <f t="shared" si="7"/>
        <v>T</v>
      </c>
      <c r="BI6" s="16" t="str">
        <f t="shared" si="7"/>
        <v>W</v>
      </c>
      <c r="BJ6" s="16" t="str">
        <f t="shared" si="7"/>
        <v>T</v>
      </c>
      <c r="BK6" s="16" t="str">
        <f t="shared" si="7"/>
        <v>F</v>
      </c>
      <c r="BL6" s="16" t="str">
        <f t="shared" si="7"/>
        <v>S</v>
      </c>
      <c r="BM6" s="17" t="str">
        <f t="shared" si="7"/>
        <v>S</v>
      </c>
      <c r="BN6" s="17" t="str">
        <f t="shared" si="7"/>
        <v>M</v>
      </c>
      <c r="BO6" s="17" t="str">
        <f t="shared" si="7"/>
        <v>T</v>
      </c>
      <c r="BP6" s="17" t="str">
        <f t="shared" si="7"/>
        <v>W</v>
      </c>
      <c r="BQ6" s="17" t="str">
        <f t="shared" si="7"/>
        <v>T</v>
      </c>
      <c r="BR6" s="17" t="str">
        <f t="shared" si="7"/>
        <v>F</v>
      </c>
      <c r="BS6" s="17" t="str">
        <f t="shared" si="7"/>
        <v>S</v>
      </c>
      <c r="BT6" s="17" t="str">
        <f t="shared" si="7"/>
        <v>S</v>
      </c>
      <c r="BU6" s="17" t="str">
        <f t="shared" si="7"/>
        <v>M</v>
      </c>
      <c r="BV6" s="17" t="str">
        <f t="shared" ref="BV6:DA6" si="8">LEFT(TEXT(BV5,"ddd"),1)</f>
        <v>T</v>
      </c>
      <c r="BW6" s="17" t="str">
        <f t="shared" si="8"/>
        <v>W</v>
      </c>
      <c r="BX6" s="17" t="str">
        <f t="shared" si="8"/>
        <v>T</v>
      </c>
      <c r="BY6" s="17" t="str">
        <f t="shared" si="8"/>
        <v>F</v>
      </c>
      <c r="BZ6" s="17" t="str">
        <f t="shared" si="8"/>
        <v>S</v>
      </c>
      <c r="CA6" s="17" t="str">
        <f t="shared" si="8"/>
        <v>S</v>
      </c>
      <c r="CB6" s="17" t="str">
        <f t="shared" si="8"/>
        <v>M</v>
      </c>
      <c r="CC6" s="17" t="str">
        <f t="shared" si="8"/>
        <v>T</v>
      </c>
      <c r="CD6" s="17" t="str">
        <f t="shared" si="8"/>
        <v>W</v>
      </c>
      <c r="CE6" s="17" t="str">
        <f t="shared" si="8"/>
        <v>T</v>
      </c>
      <c r="CF6" s="17" t="str">
        <f t="shared" si="8"/>
        <v>F</v>
      </c>
      <c r="CG6" s="17" t="str">
        <f t="shared" si="8"/>
        <v>S</v>
      </c>
      <c r="CH6" s="17" t="str">
        <f t="shared" si="8"/>
        <v>S</v>
      </c>
      <c r="CI6" s="17" t="str">
        <f t="shared" si="8"/>
        <v>M</v>
      </c>
      <c r="CJ6" s="17" t="str">
        <f t="shared" si="8"/>
        <v>T</v>
      </c>
      <c r="CK6" s="17" t="str">
        <f t="shared" si="8"/>
        <v>W</v>
      </c>
      <c r="CL6" s="17" t="str">
        <f t="shared" si="8"/>
        <v>T</v>
      </c>
      <c r="CM6" s="17" t="str">
        <f t="shared" si="8"/>
        <v>F</v>
      </c>
      <c r="CN6" s="17" t="str">
        <f t="shared" si="8"/>
        <v>S</v>
      </c>
      <c r="CO6" s="17" t="str">
        <f t="shared" si="8"/>
        <v>S</v>
      </c>
      <c r="CP6" s="17" t="str">
        <f t="shared" si="8"/>
        <v>M</v>
      </c>
      <c r="CQ6" s="17" t="str">
        <f t="shared" si="8"/>
        <v>T</v>
      </c>
      <c r="CR6" s="17" t="str">
        <f t="shared" si="8"/>
        <v>W</v>
      </c>
      <c r="CS6" s="17" t="str">
        <f t="shared" si="8"/>
        <v>T</v>
      </c>
      <c r="CT6" s="17" t="str">
        <f t="shared" si="8"/>
        <v>F</v>
      </c>
      <c r="CU6" s="17" t="str">
        <f t="shared" si="8"/>
        <v>S</v>
      </c>
      <c r="CV6" s="17" t="str">
        <f t="shared" si="8"/>
        <v>S</v>
      </c>
      <c r="CW6" s="17" t="str">
        <f t="shared" si="8"/>
        <v>M</v>
      </c>
      <c r="CX6" s="17" t="str">
        <f t="shared" si="8"/>
        <v>T</v>
      </c>
      <c r="CY6" s="17" t="str">
        <f t="shared" si="8"/>
        <v>W</v>
      </c>
      <c r="CZ6" s="17" t="str">
        <f t="shared" si="8"/>
        <v>T</v>
      </c>
      <c r="DA6" s="17" t="str">
        <f t="shared" si="8"/>
        <v>F</v>
      </c>
      <c r="DB6" s="17" t="str">
        <f t="shared" ref="DB6:EG6" si="9">LEFT(TEXT(DB5,"ddd"),1)</f>
        <v>S</v>
      </c>
      <c r="DC6" s="17" t="str">
        <f t="shared" si="9"/>
        <v>S</v>
      </c>
      <c r="DD6" s="17" t="str">
        <f t="shared" si="9"/>
        <v>M</v>
      </c>
      <c r="DE6" s="17" t="str">
        <f t="shared" si="9"/>
        <v>T</v>
      </c>
      <c r="DF6" s="17" t="str">
        <f t="shared" si="9"/>
        <v>W</v>
      </c>
      <c r="DG6" s="17" t="str">
        <f t="shared" si="9"/>
        <v>T</v>
      </c>
      <c r="DH6" s="17" t="str">
        <f t="shared" si="9"/>
        <v>F</v>
      </c>
      <c r="DI6" s="17" t="str">
        <f t="shared" si="9"/>
        <v>S</v>
      </c>
      <c r="DJ6" s="17" t="str">
        <f t="shared" si="9"/>
        <v>S</v>
      </c>
      <c r="DK6" s="17" t="str">
        <f t="shared" si="9"/>
        <v>M</v>
      </c>
      <c r="DL6" s="17" t="str">
        <f t="shared" si="9"/>
        <v>T</v>
      </c>
      <c r="DM6" s="17" t="str">
        <f t="shared" si="9"/>
        <v>W</v>
      </c>
      <c r="DN6" s="17" t="str">
        <f t="shared" si="9"/>
        <v>T</v>
      </c>
      <c r="DO6" s="17" t="str">
        <f t="shared" si="9"/>
        <v>F</v>
      </c>
      <c r="DP6" s="17" t="str">
        <f t="shared" si="9"/>
        <v>S</v>
      </c>
      <c r="DQ6" s="17" t="str">
        <f t="shared" si="9"/>
        <v>S</v>
      </c>
      <c r="DR6" s="17" t="str">
        <f t="shared" si="9"/>
        <v>M</v>
      </c>
      <c r="DS6" s="17" t="str">
        <f t="shared" si="9"/>
        <v>T</v>
      </c>
      <c r="DT6" s="17" t="str">
        <f t="shared" si="9"/>
        <v>W</v>
      </c>
      <c r="DU6" s="17" t="str">
        <f t="shared" si="9"/>
        <v>T</v>
      </c>
      <c r="DV6" s="17" t="str">
        <f t="shared" si="9"/>
        <v>F</v>
      </c>
      <c r="DW6" s="17" t="str">
        <f t="shared" si="9"/>
        <v>S</v>
      </c>
      <c r="DX6" s="17" t="str">
        <f t="shared" si="9"/>
        <v>S</v>
      </c>
      <c r="DY6" s="17" t="str">
        <f t="shared" si="9"/>
        <v>M</v>
      </c>
      <c r="DZ6" s="17" t="str">
        <f t="shared" si="9"/>
        <v>T</v>
      </c>
      <c r="EA6" s="17" t="str">
        <f t="shared" si="9"/>
        <v>W</v>
      </c>
      <c r="EB6" s="17" t="str">
        <f t="shared" si="9"/>
        <v>T</v>
      </c>
      <c r="EC6" s="17" t="str">
        <f t="shared" si="9"/>
        <v>F</v>
      </c>
      <c r="ED6" s="17" t="str">
        <f t="shared" si="9"/>
        <v>S</v>
      </c>
      <c r="EE6" s="17" t="str">
        <f t="shared" si="9"/>
        <v>S</v>
      </c>
      <c r="EF6" s="17" t="str">
        <f t="shared" si="9"/>
        <v>M</v>
      </c>
      <c r="EG6" s="17" t="str">
        <f t="shared" si="9"/>
        <v>T</v>
      </c>
      <c r="EH6" s="17" t="str">
        <f t="shared" ref="EH6:FM6" si="10">LEFT(TEXT(EH5,"ddd"),1)</f>
        <v>W</v>
      </c>
      <c r="EI6" s="17" t="str">
        <f t="shared" si="10"/>
        <v>T</v>
      </c>
      <c r="EJ6" s="17" t="str">
        <f t="shared" si="10"/>
        <v>F</v>
      </c>
      <c r="EK6" s="17" t="str">
        <f t="shared" si="10"/>
        <v>S</v>
      </c>
      <c r="EL6" s="17" t="str">
        <f t="shared" si="10"/>
        <v>S</v>
      </c>
      <c r="EM6" s="17" t="str">
        <f t="shared" si="10"/>
        <v>M</v>
      </c>
      <c r="EN6" s="17" t="str">
        <f t="shared" si="10"/>
        <v>T</v>
      </c>
      <c r="EO6" s="17" t="str">
        <f t="shared" si="10"/>
        <v>W</v>
      </c>
      <c r="EP6" s="17" t="str">
        <f t="shared" si="10"/>
        <v>T</v>
      </c>
      <c r="EQ6" s="17" t="str">
        <f t="shared" si="10"/>
        <v>F</v>
      </c>
      <c r="ER6" s="17" t="str">
        <f t="shared" si="10"/>
        <v>S</v>
      </c>
      <c r="ES6" s="17" t="str">
        <f t="shared" si="10"/>
        <v>S</v>
      </c>
      <c r="ET6" s="17" t="str">
        <f t="shared" si="10"/>
        <v>M</v>
      </c>
      <c r="EU6" s="17" t="str">
        <f t="shared" si="10"/>
        <v>T</v>
      </c>
      <c r="EV6" s="17" t="str">
        <f t="shared" si="10"/>
        <v>W</v>
      </c>
      <c r="EW6" s="17" t="str">
        <f t="shared" si="10"/>
        <v>T</v>
      </c>
      <c r="EX6" s="17" t="str">
        <f t="shared" si="10"/>
        <v>F</v>
      </c>
      <c r="EY6" s="17" t="str">
        <f t="shared" si="10"/>
        <v>S</v>
      </c>
      <c r="EZ6" s="17" t="str">
        <f t="shared" si="10"/>
        <v>S</v>
      </c>
      <c r="FA6" s="17" t="str">
        <f t="shared" si="10"/>
        <v>M</v>
      </c>
      <c r="FB6" s="17" t="str">
        <f t="shared" si="10"/>
        <v>T</v>
      </c>
      <c r="FC6" s="17" t="str">
        <f t="shared" si="10"/>
        <v>W</v>
      </c>
      <c r="FD6" s="17" t="str">
        <f t="shared" si="10"/>
        <v>T</v>
      </c>
      <c r="FE6" s="17" t="str">
        <f t="shared" si="10"/>
        <v>F</v>
      </c>
      <c r="FF6" s="17" t="str">
        <f t="shared" si="10"/>
        <v>S</v>
      </c>
      <c r="FG6" s="17" t="str">
        <f t="shared" si="10"/>
        <v>S</v>
      </c>
      <c r="FH6" s="17" t="str">
        <f t="shared" si="10"/>
        <v>M</v>
      </c>
      <c r="FI6" s="17" t="str">
        <f t="shared" si="10"/>
        <v>T</v>
      </c>
      <c r="FJ6" s="17" t="str">
        <f t="shared" si="10"/>
        <v>W</v>
      </c>
      <c r="FK6" s="17" t="str">
        <f t="shared" si="10"/>
        <v>T</v>
      </c>
      <c r="FL6" s="17" t="str">
        <f t="shared" si="10"/>
        <v>F</v>
      </c>
      <c r="FM6" s="17" t="str">
        <f t="shared" si="10"/>
        <v>S</v>
      </c>
      <c r="FN6" s="17" t="str">
        <f t="shared" ref="FN6:GS6" si="11">LEFT(TEXT(FN5,"ddd"),1)</f>
        <v>S</v>
      </c>
      <c r="FO6" s="17" t="str">
        <f t="shared" si="11"/>
        <v>M</v>
      </c>
      <c r="FP6" s="17" t="str">
        <f t="shared" si="11"/>
        <v>T</v>
      </c>
      <c r="FQ6" s="17" t="str">
        <f t="shared" si="11"/>
        <v>W</v>
      </c>
      <c r="FR6" s="17" t="str">
        <f t="shared" si="11"/>
        <v>T</v>
      </c>
      <c r="FS6" s="17" t="str">
        <f t="shared" si="11"/>
        <v>F</v>
      </c>
      <c r="FT6" s="17" t="str">
        <f t="shared" si="11"/>
        <v>S</v>
      </c>
      <c r="FU6" s="17" t="str">
        <f t="shared" si="11"/>
        <v>S</v>
      </c>
      <c r="FV6" s="17" t="str">
        <f t="shared" si="11"/>
        <v>M</v>
      </c>
      <c r="FW6" s="17" t="str">
        <f t="shared" si="11"/>
        <v>T</v>
      </c>
      <c r="FX6" s="17" t="str">
        <f t="shared" si="11"/>
        <v>W</v>
      </c>
      <c r="FY6" s="17" t="str">
        <f t="shared" si="11"/>
        <v>T</v>
      </c>
      <c r="FZ6" s="17" t="str">
        <f t="shared" si="11"/>
        <v>F</v>
      </c>
      <c r="GA6" s="17" t="str">
        <f t="shared" si="11"/>
        <v>S</v>
      </c>
      <c r="GB6" s="17" t="str">
        <f t="shared" si="11"/>
        <v>S</v>
      </c>
      <c r="GC6" s="17" t="str">
        <f t="shared" si="11"/>
        <v>M</v>
      </c>
      <c r="GD6" s="17" t="str">
        <f t="shared" si="11"/>
        <v>T</v>
      </c>
      <c r="GE6" s="17" t="str">
        <f t="shared" si="11"/>
        <v>W</v>
      </c>
      <c r="GF6" s="17" t="str">
        <f t="shared" si="11"/>
        <v>T</v>
      </c>
      <c r="GG6" s="17" t="str">
        <f t="shared" si="11"/>
        <v>F</v>
      </c>
      <c r="GH6" s="17" t="str">
        <f t="shared" si="11"/>
        <v>S</v>
      </c>
      <c r="GI6" s="118" t="str">
        <f t="shared" si="11"/>
        <v>S</v>
      </c>
    </row>
    <row r="7" spans="1:191" s="11" customFormat="1" ht="30" hidden="1" customHeight="1" thickBot="1" x14ac:dyDescent="0.2">
      <c r="A7" s="119" t="s">
        <v>26</v>
      </c>
      <c r="B7" s="96"/>
      <c r="C7" s="55"/>
      <c r="D7" s="97"/>
      <c r="E7" s="96"/>
      <c r="F7" s="96"/>
      <c r="G7" s="96"/>
      <c r="H7" s="93"/>
      <c r="I7" s="93" t="str">
        <f t="shared" ref="I7:I16" si="12">IF(OR(ISBLANK(task_start),ISBLANK(task_end)),"",task_end-task_start+1)</f>
        <v/>
      </c>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93"/>
      <c r="BO7" s="93"/>
      <c r="BP7" s="93"/>
      <c r="BQ7" s="93"/>
      <c r="BR7" s="93"/>
      <c r="BS7" s="93"/>
      <c r="BT7" s="93"/>
      <c r="BU7" s="93"/>
      <c r="BV7" s="93"/>
      <c r="BW7" s="93"/>
      <c r="BX7" s="93"/>
      <c r="BY7" s="93"/>
      <c r="BZ7" s="93"/>
      <c r="CA7" s="93"/>
      <c r="CB7" s="93"/>
      <c r="CC7" s="93"/>
      <c r="CD7" s="93"/>
      <c r="CE7" s="93"/>
      <c r="CF7" s="93"/>
      <c r="CG7" s="93"/>
      <c r="CH7" s="93"/>
      <c r="CI7" s="93"/>
      <c r="CJ7" s="93"/>
      <c r="CK7" s="93"/>
      <c r="CL7" s="93"/>
      <c r="CM7" s="93"/>
      <c r="CN7" s="93"/>
      <c r="CO7" s="93"/>
      <c r="CP7" s="93"/>
      <c r="CQ7" s="93"/>
      <c r="CR7" s="93"/>
      <c r="CS7" s="93"/>
      <c r="CT7" s="93"/>
      <c r="CU7" s="93"/>
      <c r="CV7" s="93"/>
      <c r="CW7" s="93"/>
      <c r="CX7" s="93"/>
      <c r="CY7" s="93"/>
      <c r="CZ7" s="93"/>
      <c r="DA7" s="93"/>
      <c r="DB7" s="93"/>
      <c r="DC7" s="93"/>
      <c r="DD7" s="93"/>
      <c r="DE7" s="93"/>
      <c r="DF7" s="93"/>
      <c r="DG7" s="93"/>
      <c r="DH7" s="93"/>
      <c r="DI7" s="93"/>
      <c r="DJ7" s="93"/>
      <c r="DK7" s="93"/>
      <c r="DL7" s="93"/>
      <c r="DM7" s="93"/>
      <c r="DN7" s="93"/>
      <c r="DO7" s="93"/>
      <c r="DP7" s="93"/>
      <c r="DQ7" s="93"/>
      <c r="DR7" s="93"/>
      <c r="DS7" s="93"/>
      <c r="DT7" s="93"/>
      <c r="DU7" s="93"/>
      <c r="DV7" s="93"/>
      <c r="DW7" s="93"/>
      <c r="DX7" s="93"/>
      <c r="DY7" s="93"/>
      <c r="DZ7" s="93"/>
      <c r="EA7" s="93"/>
      <c r="EB7" s="93"/>
      <c r="EC7" s="93"/>
      <c r="ED7" s="93"/>
      <c r="EE7" s="93"/>
      <c r="EF7" s="93"/>
      <c r="EG7" s="93"/>
      <c r="EH7" s="93"/>
      <c r="EI7" s="93"/>
      <c r="EJ7" s="93"/>
      <c r="EK7" s="93"/>
      <c r="EL7" s="93"/>
      <c r="EM7" s="93"/>
      <c r="EN7" s="93"/>
      <c r="EO7" s="93"/>
      <c r="EP7" s="93"/>
      <c r="EQ7" s="93"/>
      <c r="ER7" s="93"/>
      <c r="ES7" s="93"/>
      <c r="ET7" s="93"/>
      <c r="EU7" s="93"/>
      <c r="EV7" s="93"/>
      <c r="EW7" s="93"/>
      <c r="EX7" s="93"/>
      <c r="EY7" s="93"/>
      <c r="EZ7" s="93"/>
      <c r="FA7" s="93"/>
      <c r="FB7" s="93"/>
      <c r="FC7" s="93"/>
      <c r="FD7" s="93"/>
      <c r="FE7" s="93"/>
      <c r="FF7" s="93"/>
      <c r="FG7" s="93"/>
      <c r="FH7" s="93"/>
      <c r="FI7" s="93"/>
      <c r="FJ7" s="93"/>
      <c r="FK7" s="93"/>
      <c r="FL7" s="93"/>
      <c r="FM7" s="93"/>
      <c r="FN7" s="93"/>
      <c r="FO7" s="93"/>
      <c r="FP7" s="93"/>
      <c r="FQ7" s="93"/>
      <c r="FR7" s="93"/>
      <c r="FS7" s="93"/>
      <c r="FT7" s="93"/>
      <c r="FU7" s="93"/>
      <c r="FV7" s="93"/>
      <c r="FW7" s="93"/>
      <c r="FX7" s="93"/>
      <c r="FY7" s="93"/>
      <c r="FZ7" s="93"/>
      <c r="GA7" s="93"/>
      <c r="GB7" s="93"/>
      <c r="GC7" s="93"/>
      <c r="GD7" s="93"/>
      <c r="GE7" s="93"/>
      <c r="GF7" s="93"/>
      <c r="GG7" s="93"/>
      <c r="GH7" s="93"/>
      <c r="GI7" s="120"/>
    </row>
    <row r="8" spans="1:191" s="21" customFormat="1" ht="30" customHeight="1" thickBot="1" x14ac:dyDescent="0.2">
      <c r="A8" s="121"/>
      <c r="B8" s="98" t="s">
        <v>27</v>
      </c>
      <c r="C8" s="98"/>
      <c r="D8" s="19"/>
      <c r="E8" s="99"/>
      <c r="F8" s="100"/>
      <c r="G8" s="101"/>
      <c r="H8" s="101"/>
      <c r="I8" s="3" t="str">
        <f t="shared" si="12"/>
        <v/>
      </c>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68"/>
      <c r="BO8" s="68"/>
      <c r="BP8" s="68"/>
      <c r="BQ8" s="68"/>
      <c r="BR8" s="68"/>
      <c r="BS8" s="68"/>
      <c r="BT8" s="68"/>
      <c r="BU8" s="68"/>
      <c r="BV8" s="68"/>
      <c r="BW8" s="68"/>
      <c r="BX8" s="68"/>
      <c r="BY8" s="68"/>
      <c r="BZ8" s="68"/>
      <c r="CA8" s="68"/>
      <c r="CB8" s="68"/>
      <c r="CC8" s="68"/>
      <c r="CD8" s="68"/>
      <c r="CE8" s="68"/>
      <c r="CF8" s="68"/>
      <c r="CG8" s="68"/>
      <c r="CH8" s="68"/>
      <c r="CI8" s="68"/>
      <c r="CJ8" s="68"/>
      <c r="CK8" s="68"/>
      <c r="CL8" s="68"/>
      <c r="CM8" s="68"/>
      <c r="CN8" s="68"/>
      <c r="CO8" s="68"/>
      <c r="CP8" s="68"/>
      <c r="CQ8" s="68"/>
      <c r="CR8" s="68"/>
      <c r="CS8" s="68"/>
      <c r="CT8" s="68"/>
      <c r="CU8" s="68"/>
      <c r="CV8" s="68"/>
      <c r="CW8" s="68"/>
      <c r="CX8" s="68"/>
      <c r="CY8" s="68"/>
      <c r="CZ8" s="68"/>
      <c r="DA8" s="68"/>
      <c r="DB8" s="68"/>
      <c r="DC8" s="68"/>
      <c r="DD8" s="68"/>
      <c r="DE8" s="68"/>
      <c r="DF8" s="68"/>
      <c r="DG8" s="68"/>
      <c r="DH8" s="68"/>
      <c r="DI8" s="68"/>
      <c r="DJ8" s="68"/>
      <c r="DK8" s="68"/>
      <c r="DL8" s="68"/>
      <c r="DM8" s="68"/>
      <c r="DN8" s="68"/>
      <c r="DO8" s="68"/>
      <c r="DP8" s="68"/>
      <c r="DQ8" s="68"/>
      <c r="DR8" s="68"/>
      <c r="DS8" s="68"/>
      <c r="DT8" s="68"/>
      <c r="DU8" s="68"/>
      <c r="DV8" s="68"/>
      <c r="DW8" s="68"/>
      <c r="DX8" s="68"/>
      <c r="DY8" s="68"/>
      <c r="DZ8" s="68"/>
      <c r="EA8" s="68"/>
      <c r="EB8" s="68"/>
      <c r="EC8" s="68"/>
      <c r="ED8" s="68"/>
      <c r="EE8" s="68"/>
      <c r="EF8" s="68"/>
      <c r="EG8" s="68"/>
      <c r="EH8" s="68"/>
      <c r="EI8" s="68"/>
      <c r="EJ8" s="68"/>
      <c r="EK8" s="68"/>
      <c r="EL8" s="68"/>
      <c r="EM8" s="68"/>
      <c r="EN8" s="68"/>
      <c r="EO8" s="68"/>
      <c r="EP8" s="68"/>
      <c r="EQ8" s="68"/>
      <c r="ER8" s="68"/>
      <c r="ES8" s="68"/>
      <c r="ET8" s="68"/>
      <c r="EU8" s="68"/>
      <c r="EV8" s="68"/>
      <c r="EW8" s="68"/>
      <c r="EX8" s="68"/>
      <c r="EY8" s="68"/>
      <c r="EZ8" s="68"/>
      <c r="FA8" s="68"/>
      <c r="FB8" s="68"/>
      <c r="FC8" s="68"/>
      <c r="FD8" s="68"/>
      <c r="FE8" s="68"/>
      <c r="FF8" s="68"/>
      <c r="FG8" s="68"/>
      <c r="FH8" s="68"/>
      <c r="FI8" s="68"/>
      <c r="FJ8" s="68"/>
      <c r="FK8" s="68"/>
      <c r="FL8" s="68"/>
      <c r="FM8" s="68"/>
      <c r="FN8" s="68"/>
      <c r="FO8" s="68"/>
      <c r="FP8" s="68"/>
      <c r="FQ8" s="68"/>
      <c r="FR8" s="68"/>
      <c r="FS8" s="68"/>
      <c r="FT8" s="68"/>
      <c r="FU8" s="68"/>
      <c r="FV8" s="68"/>
      <c r="FW8" s="68"/>
      <c r="FX8" s="68"/>
      <c r="FY8" s="68"/>
      <c r="FZ8" s="68"/>
      <c r="GA8" s="68"/>
      <c r="GB8" s="68"/>
      <c r="GC8" s="68"/>
      <c r="GD8" s="68"/>
      <c r="GE8" s="68"/>
      <c r="GF8" s="68"/>
      <c r="GG8" s="68"/>
      <c r="GH8" s="68"/>
      <c r="GI8" s="122"/>
    </row>
    <row r="9" spans="1:191" s="21" customFormat="1" ht="30" customHeight="1" thickBot="1" x14ac:dyDescent="0.2">
      <c r="A9" s="121" t="s">
        <v>28</v>
      </c>
      <c r="B9" s="22" t="s">
        <v>29</v>
      </c>
      <c r="C9" s="22" t="s">
        <v>30</v>
      </c>
      <c r="D9" s="23" t="s">
        <v>31</v>
      </c>
      <c r="E9" s="24">
        <v>1</v>
      </c>
      <c r="F9" s="25">
        <f>Project_Start</f>
        <v>45931</v>
      </c>
      <c r="G9" s="25">
        <f>F9+7</f>
        <v>45938</v>
      </c>
      <c r="H9" s="22" t="s">
        <v>32</v>
      </c>
      <c r="I9" s="3">
        <f t="shared" si="12"/>
        <v>8</v>
      </c>
      <c r="J9" s="26"/>
      <c r="K9" s="26"/>
      <c r="L9" s="26"/>
      <c r="M9" s="26"/>
      <c r="N9" s="26"/>
      <c r="O9" s="26"/>
      <c r="P9" s="26"/>
      <c r="Q9" s="26"/>
      <c r="R9" s="26"/>
      <c r="S9" s="26"/>
      <c r="T9" s="26"/>
      <c r="U9" s="26"/>
      <c r="V9" s="26"/>
      <c r="W9" s="26"/>
      <c r="X9" s="26"/>
      <c r="Y9" s="26"/>
      <c r="Z9" s="26"/>
      <c r="AA9" s="26"/>
      <c r="AB9" s="26"/>
      <c r="AC9" s="26"/>
      <c r="AD9" s="26"/>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68"/>
      <c r="BM9" s="26"/>
      <c r="BN9" s="26"/>
      <c r="BO9" s="26"/>
      <c r="BP9" s="26"/>
      <c r="BQ9" s="26"/>
      <c r="BR9" s="26"/>
      <c r="BS9" s="26"/>
      <c r="BT9" s="26"/>
      <c r="BU9" s="26"/>
      <c r="BV9" s="26"/>
      <c r="BW9" s="26"/>
      <c r="BX9" s="26"/>
      <c r="BY9" s="26"/>
      <c r="BZ9" s="26"/>
      <c r="CA9" s="26"/>
      <c r="CB9" s="26"/>
      <c r="CC9" s="26"/>
      <c r="CD9" s="26"/>
      <c r="CE9" s="26"/>
      <c r="CF9" s="26"/>
      <c r="CG9" s="26"/>
      <c r="CH9" s="26"/>
      <c r="CI9" s="26"/>
      <c r="CJ9" s="26"/>
      <c r="CK9" s="26"/>
      <c r="CL9" s="26"/>
      <c r="CM9" s="26"/>
      <c r="CN9" s="26"/>
      <c r="CO9" s="26"/>
      <c r="CP9" s="26"/>
      <c r="CQ9" s="26"/>
      <c r="CR9" s="26"/>
      <c r="CS9" s="26"/>
      <c r="CT9" s="26"/>
      <c r="CU9" s="26"/>
      <c r="CV9" s="26"/>
      <c r="CW9" s="26"/>
      <c r="CX9" s="26"/>
      <c r="CY9" s="26"/>
      <c r="CZ9" s="26"/>
      <c r="DA9" s="26"/>
      <c r="DB9" s="26"/>
      <c r="DC9" s="26"/>
      <c r="DD9" s="26"/>
      <c r="DE9" s="26"/>
      <c r="DF9" s="26"/>
      <c r="DG9" s="26"/>
      <c r="DH9" s="26"/>
      <c r="DI9" s="26"/>
      <c r="DJ9" s="26"/>
      <c r="DK9" s="26"/>
      <c r="DL9" s="26"/>
      <c r="DM9" s="26"/>
      <c r="DN9" s="26"/>
      <c r="DO9" s="26"/>
      <c r="DP9" s="26"/>
      <c r="DQ9" s="26"/>
      <c r="DR9" s="26"/>
      <c r="DS9" s="26"/>
      <c r="DT9" s="26"/>
      <c r="DU9" s="26"/>
      <c r="DV9" s="26"/>
      <c r="DW9" s="26"/>
      <c r="DX9" s="26"/>
      <c r="DY9" s="26"/>
      <c r="DZ9" s="26"/>
      <c r="EA9" s="26"/>
      <c r="EB9" s="26"/>
      <c r="EC9" s="26"/>
      <c r="ED9" s="26"/>
      <c r="EE9" s="26"/>
      <c r="EF9" s="26"/>
      <c r="EG9" s="26"/>
      <c r="EH9" s="26"/>
      <c r="EI9" s="26"/>
      <c r="EJ9" s="26"/>
      <c r="EK9" s="26"/>
      <c r="EL9" s="26"/>
      <c r="EM9" s="26"/>
      <c r="EN9" s="26"/>
      <c r="EO9" s="26"/>
      <c r="EP9" s="26"/>
      <c r="EQ9" s="26"/>
      <c r="ER9" s="26"/>
      <c r="ES9" s="26"/>
      <c r="ET9" s="26"/>
      <c r="EU9" s="26"/>
      <c r="EV9" s="26"/>
      <c r="EW9" s="26"/>
      <c r="EX9" s="26"/>
      <c r="EY9" s="26"/>
      <c r="EZ9" s="26"/>
      <c r="FA9" s="26"/>
      <c r="FB9" s="26"/>
      <c r="FC9" s="26"/>
      <c r="FD9" s="26"/>
      <c r="FE9" s="26"/>
      <c r="FF9" s="26"/>
      <c r="FG9" s="26"/>
      <c r="FH9" s="26"/>
      <c r="FI9" s="26"/>
      <c r="FJ9" s="26"/>
      <c r="FK9" s="26"/>
      <c r="FL9" s="26"/>
      <c r="FM9" s="26"/>
      <c r="FN9" s="26"/>
      <c r="FO9" s="26"/>
      <c r="FP9" s="26"/>
      <c r="FQ9" s="26"/>
      <c r="FR9" s="26"/>
      <c r="FS9" s="26"/>
      <c r="FT9" s="26"/>
      <c r="FU9" s="26"/>
      <c r="FV9" s="26"/>
      <c r="FW9" s="26"/>
      <c r="FX9" s="26"/>
      <c r="FY9" s="26"/>
      <c r="FZ9" s="26"/>
      <c r="GA9" s="26"/>
      <c r="GB9" s="26"/>
      <c r="GC9" s="26"/>
      <c r="GD9" s="26"/>
      <c r="GE9" s="26"/>
      <c r="GF9" s="26"/>
      <c r="GG9" s="26"/>
      <c r="GH9" s="26"/>
      <c r="GI9" s="123"/>
    </row>
    <row r="10" spans="1:191" s="21" customFormat="1" ht="30" customHeight="1" thickBot="1" x14ac:dyDescent="0.2">
      <c r="A10" s="121" t="s">
        <v>33</v>
      </c>
      <c r="B10" s="27" t="s">
        <v>34</v>
      </c>
      <c r="C10" s="27" t="s">
        <v>28</v>
      </c>
      <c r="D10" s="28" t="s">
        <v>35</v>
      </c>
      <c r="E10" s="29">
        <v>1</v>
      </c>
      <c r="F10" s="30">
        <f>G9</f>
        <v>45938</v>
      </c>
      <c r="G10" s="30">
        <f>F10+6</f>
        <v>45944</v>
      </c>
      <c r="H10" s="22" t="s">
        <v>36</v>
      </c>
      <c r="I10" s="3">
        <f t="shared" si="12"/>
        <v>7</v>
      </c>
      <c r="J10" s="26"/>
      <c r="K10" s="26"/>
      <c r="L10" s="26"/>
      <c r="M10" s="26"/>
      <c r="N10" s="26"/>
      <c r="O10" s="26"/>
      <c r="P10" s="26"/>
      <c r="Q10" s="26"/>
      <c r="R10" s="26"/>
      <c r="S10" s="26"/>
      <c r="T10" s="26"/>
      <c r="U10" s="26"/>
      <c r="V10" s="31"/>
      <c r="W10" s="31"/>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c r="CC10" s="26"/>
      <c r="CD10" s="26"/>
      <c r="CE10" s="26"/>
      <c r="CF10" s="26"/>
      <c r="CG10" s="26"/>
      <c r="CH10" s="26"/>
      <c r="CI10" s="26"/>
      <c r="CJ10" s="26"/>
      <c r="CK10" s="26"/>
      <c r="CL10" s="26"/>
      <c r="CM10" s="26"/>
      <c r="CN10" s="26"/>
      <c r="CO10" s="26"/>
      <c r="CP10" s="26"/>
      <c r="CQ10" s="26"/>
      <c r="CR10" s="26"/>
      <c r="CS10" s="26"/>
      <c r="CT10" s="26"/>
      <c r="CU10" s="26"/>
      <c r="CV10" s="26"/>
      <c r="CW10" s="26"/>
      <c r="CX10" s="26"/>
      <c r="CY10" s="26"/>
      <c r="CZ10" s="26"/>
      <c r="DA10" s="26"/>
      <c r="DB10" s="26"/>
      <c r="DC10" s="26"/>
      <c r="DD10" s="26"/>
      <c r="DE10" s="26"/>
      <c r="DF10" s="26"/>
      <c r="DG10" s="26"/>
      <c r="DH10" s="26"/>
      <c r="DI10" s="26"/>
      <c r="DJ10" s="26"/>
      <c r="DK10" s="26"/>
      <c r="DL10" s="26"/>
      <c r="DM10" s="26"/>
      <c r="DN10" s="26"/>
      <c r="DO10" s="26"/>
      <c r="DP10" s="26"/>
      <c r="DQ10" s="26"/>
      <c r="DR10" s="26"/>
      <c r="DS10" s="26"/>
      <c r="DT10" s="26"/>
      <c r="DU10" s="26"/>
      <c r="DV10" s="26"/>
      <c r="DW10" s="26"/>
      <c r="DX10" s="26"/>
      <c r="DY10" s="26"/>
      <c r="DZ10" s="26"/>
      <c r="EA10" s="26"/>
      <c r="EB10" s="26"/>
      <c r="EC10" s="26"/>
      <c r="ED10" s="26"/>
      <c r="EE10" s="26"/>
      <c r="EF10" s="26"/>
      <c r="EG10" s="26"/>
      <c r="EH10" s="26"/>
      <c r="EI10" s="26"/>
      <c r="EJ10" s="26"/>
      <c r="EK10" s="26"/>
      <c r="EL10" s="26"/>
      <c r="EM10" s="26"/>
      <c r="EN10" s="26"/>
      <c r="EO10" s="26"/>
      <c r="EP10" s="26"/>
      <c r="EQ10" s="26"/>
      <c r="ER10" s="26"/>
      <c r="ES10" s="26"/>
      <c r="ET10" s="26"/>
      <c r="EU10" s="26"/>
      <c r="EV10" s="26"/>
      <c r="EW10" s="26"/>
      <c r="EX10" s="26"/>
      <c r="EY10" s="26"/>
      <c r="EZ10" s="26"/>
      <c r="FA10" s="26"/>
      <c r="FB10" s="26"/>
      <c r="FC10" s="26"/>
      <c r="FD10" s="26"/>
      <c r="FE10" s="26"/>
      <c r="FF10" s="26"/>
      <c r="FG10" s="26"/>
      <c r="FH10" s="26"/>
      <c r="FI10" s="26"/>
      <c r="FJ10" s="26"/>
      <c r="FK10" s="26"/>
      <c r="FL10" s="26"/>
      <c r="FM10" s="26"/>
      <c r="FN10" s="26"/>
      <c r="FO10" s="26"/>
      <c r="FP10" s="26"/>
      <c r="FQ10" s="26"/>
      <c r="FR10" s="26"/>
      <c r="FS10" s="26"/>
      <c r="FT10" s="26"/>
      <c r="FU10" s="26"/>
      <c r="FV10" s="26"/>
      <c r="FW10" s="26"/>
      <c r="FX10" s="26"/>
      <c r="FY10" s="26"/>
      <c r="FZ10" s="26"/>
      <c r="GA10" s="26"/>
      <c r="GB10" s="26"/>
      <c r="GC10" s="26"/>
      <c r="GD10" s="26"/>
      <c r="GE10" s="26"/>
      <c r="GF10" s="26"/>
      <c r="GG10" s="26"/>
      <c r="GH10" s="26"/>
      <c r="GI10" s="123"/>
    </row>
    <row r="11" spans="1:191" s="21" customFormat="1" ht="30" customHeight="1" thickBot="1" x14ac:dyDescent="0.2">
      <c r="A11" s="121" t="s">
        <v>37</v>
      </c>
      <c r="B11" s="27" t="s">
        <v>38</v>
      </c>
      <c r="C11" s="27" t="s">
        <v>28</v>
      </c>
      <c r="D11" s="28" t="s">
        <v>39</v>
      </c>
      <c r="E11" s="29">
        <v>1</v>
      </c>
      <c r="F11" s="30">
        <f>G10</f>
        <v>45944</v>
      </c>
      <c r="G11" s="30">
        <f>F11+6</f>
        <v>45950</v>
      </c>
      <c r="H11" s="22" t="s">
        <v>40</v>
      </c>
      <c r="I11" s="3">
        <f t="shared" si="12"/>
        <v>7</v>
      </c>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c r="BU11" s="26"/>
      <c r="BV11" s="26"/>
      <c r="BW11" s="26"/>
      <c r="BX11" s="26"/>
      <c r="BY11" s="26"/>
      <c r="BZ11" s="26"/>
      <c r="CA11" s="26"/>
      <c r="CB11" s="26"/>
      <c r="CC11" s="26"/>
      <c r="CD11" s="26"/>
      <c r="CE11" s="26"/>
      <c r="CF11" s="26"/>
      <c r="CG11" s="26"/>
      <c r="CH11" s="26"/>
      <c r="CI11" s="26"/>
      <c r="CJ11" s="26"/>
      <c r="CK11" s="26"/>
      <c r="CL11" s="26"/>
      <c r="CM11" s="26"/>
      <c r="CN11" s="26"/>
      <c r="CO11" s="26"/>
      <c r="CP11" s="26"/>
      <c r="CQ11" s="26"/>
      <c r="CR11" s="26"/>
      <c r="CS11" s="26"/>
      <c r="CT11" s="26"/>
      <c r="CU11" s="26"/>
      <c r="CV11" s="26"/>
      <c r="CW11" s="26"/>
      <c r="CX11" s="26"/>
      <c r="CY11" s="26"/>
      <c r="CZ11" s="26"/>
      <c r="DA11" s="26"/>
      <c r="DB11" s="26"/>
      <c r="DC11" s="26"/>
      <c r="DD11" s="26"/>
      <c r="DE11" s="26"/>
      <c r="DF11" s="26"/>
      <c r="DG11" s="26"/>
      <c r="DH11" s="26"/>
      <c r="DI11" s="26"/>
      <c r="DJ11" s="26"/>
      <c r="DK11" s="26"/>
      <c r="DL11" s="26"/>
      <c r="DM11" s="26"/>
      <c r="DN11" s="26"/>
      <c r="DO11" s="26"/>
      <c r="DP11" s="26"/>
      <c r="DQ11" s="26"/>
      <c r="DR11" s="26"/>
      <c r="DS11" s="26"/>
      <c r="DT11" s="26"/>
      <c r="DU11" s="26"/>
      <c r="DV11" s="26"/>
      <c r="DW11" s="26"/>
      <c r="DX11" s="26"/>
      <c r="DY11" s="26"/>
      <c r="DZ11" s="26"/>
      <c r="EA11" s="26"/>
      <c r="EB11" s="26"/>
      <c r="EC11" s="26"/>
      <c r="ED11" s="26"/>
      <c r="EE11" s="26"/>
      <c r="EF11" s="26"/>
      <c r="EG11" s="26"/>
      <c r="EH11" s="26"/>
      <c r="EI11" s="26"/>
      <c r="EJ11" s="26"/>
      <c r="EK11" s="26"/>
      <c r="EL11" s="26"/>
      <c r="EM11" s="26"/>
      <c r="EN11" s="26"/>
      <c r="EO11" s="26"/>
      <c r="EP11" s="26"/>
      <c r="EQ11" s="26"/>
      <c r="ER11" s="26"/>
      <c r="ES11" s="26"/>
      <c r="ET11" s="26"/>
      <c r="EU11" s="26"/>
      <c r="EV11" s="26"/>
      <c r="EW11" s="26"/>
      <c r="EX11" s="26"/>
      <c r="EY11" s="26"/>
      <c r="EZ11" s="26"/>
      <c r="FA11" s="26"/>
      <c r="FB11" s="26"/>
      <c r="FC11" s="26"/>
      <c r="FD11" s="26"/>
      <c r="FE11" s="26"/>
      <c r="FF11" s="26"/>
      <c r="FG11" s="26"/>
      <c r="FH11" s="26"/>
      <c r="FI11" s="26"/>
      <c r="FJ11" s="26"/>
      <c r="FK11" s="26"/>
      <c r="FL11" s="26"/>
      <c r="FM11" s="26"/>
      <c r="FN11" s="26"/>
      <c r="FO11" s="26"/>
      <c r="FP11" s="26"/>
      <c r="FQ11" s="26"/>
      <c r="FR11" s="26"/>
      <c r="FS11" s="26"/>
      <c r="FT11" s="26"/>
      <c r="FU11" s="26"/>
      <c r="FV11" s="26"/>
      <c r="FW11" s="26"/>
      <c r="FX11" s="26"/>
      <c r="FY11" s="26"/>
      <c r="FZ11" s="26"/>
      <c r="GA11" s="26"/>
      <c r="GB11" s="26"/>
      <c r="GC11" s="26"/>
      <c r="GD11" s="26"/>
      <c r="GE11" s="26"/>
      <c r="GF11" s="26"/>
      <c r="GG11" s="26"/>
      <c r="GH11" s="26"/>
      <c r="GI11" s="123"/>
    </row>
    <row r="12" spans="1:191" s="21" customFormat="1" ht="30" customHeight="1" thickBot="1" x14ac:dyDescent="0.2">
      <c r="A12" s="121" t="s">
        <v>41</v>
      </c>
      <c r="B12" s="27" t="s">
        <v>42</v>
      </c>
      <c r="C12" s="27" t="s">
        <v>28</v>
      </c>
      <c r="D12" s="28" t="s">
        <v>43</v>
      </c>
      <c r="E12" s="29">
        <v>1</v>
      </c>
      <c r="F12" s="30">
        <f>G11</f>
        <v>45950</v>
      </c>
      <c r="G12" s="30">
        <f>F12+7</f>
        <v>45957</v>
      </c>
      <c r="H12" s="22" t="s">
        <v>44</v>
      </c>
      <c r="I12" s="3">
        <f t="shared" si="12"/>
        <v>8</v>
      </c>
      <c r="J12" s="26"/>
      <c r="K12" s="26"/>
      <c r="L12" s="26"/>
      <c r="M12" s="26"/>
      <c r="N12" s="26"/>
      <c r="O12" s="26"/>
      <c r="P12" s="26"/>
      <c r="Q12" s="26"/>
      <c r="R12" s="26"/>
      <c r="S12" s="26"/>
      <c r="T12" s="26"/>
      <c r="U12" s="26"/>
      <c r="V12" s="26"/>
      <c r="W12" s="26"/>
      <c r="X12" s="26"/>
      <c r="Y12" s="26"/>
      <c r="Z12" s="31"/>
      <c r="AA12" s="26"/>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c r="BU12" s="26"/>
      <c r="BV12" s="26"/>
      <c r="BW12" s="26"/>
      <c r="BX12" s="26"/>
      <c r="BY12" s="26"/>
      <c r="BZ12" s="26"/>
      <c r="CA12" s="26"/>
      <c r="CB12" s="26"/>
      <c r="CC12" s="26"/>
      <c r="CD12" s="26"/>
      <c r="CE12" s="26"/>
      <c r="CF12" s="26"/>
      <c r="CG12" s="26"/>
      <c r="CH12" s="26"/>
      <c r="CI12" s="26"/>
      <c r="CJ12" s="26"/>
      <c r="CK12" s="26"/>
      <c r="CL12" s="26"/>
      <c r="CM12" s="26"/>
      <c r="CN12" s="26"/>
      <c r="CO12" s="26"/>
      <c r="CP12" s="26"/>
      <c r="CQ12" s="26"/>
      <c r="CR12" s="26"/>
      <c r="CS12" s="26"/>
      <c r="CT12" s="26"/>
      <c r="CU12" s="26"/>
      <c r="CV12" s="26"/>
      <c r="CW12" s="26"/>
      <c r="CX12" s="26"/>
      <c r="CY12" s="26"/>
      <c r="CZ12" s="26"/>
      <c r="DA12" s="26"/>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c r="EY12" s="26"/>
      <c r="EZ12" s="26"/>
      <c r="FA12" s="26"/>
      <c r="FB12" s="26"/>
      <c r="FC12" s="26"/>
      <c r="FD12" s="26"/>
      <c r="FE12" s="26"/>
      <c r="FF12" s="26"/>
      <c r="FG12" s="26"/>
      <c r="FH12" s="26"/>
      <c r="FI12" s="26"/>
      <c r="FJ12" s="26"/>
      <c r="FK12" s="26"/>
      <c r="FL12" s="26"/>
      <c r="FM12" s="26"/>
      <c r="FN12" s="26"/>
      <c r="FO12" s="26"/>
      <c r="FP12" s="26"/>
      <c r="FQ12" s="26"/>
      <c r="FR12" s="26"/>
      <c r="FS12" s="26"/>
      <c r="FT12" s="26"/>
      <c r="FU12" s="26"/>
      <c r="FV12" s="26"/>
      <c r="FW12" s="26"/>
      <c r="FX12" s="26"/>
      <c r="FY12" s="26"/>
      <c r="FZ12" s="26"/>
      <c r="GA12" s="26"/>
      <c r="GB12" s="26"/>
      <c r="GC12" s="26"/>
      <c r="GD12" s="26"/>
      <c r="GE12" s="26"/>
      <c r="GF12" s="26"/>
      <c r="GG12" s="26"/>
      <c r="GH12" s="26"/>
      <c r="GI12" s="123"/>
    </row>
    <row r="13" spans="1:191" s="21" customFormat="1" ht="30" customHeight="1" thickBot="1" x14ac:dyDescent="0.2">
      <c r="A13" s="121"/>
      <c r="B13" s="102" t="s">
        <v>45</v>
      </c>
      <c r="C13" s="102"/>
      <c r="D13" s="32"/>
      <c r="E13" s="103"/>
      <c r="F13" s="104"/>
      <c r="G13" s="105"/>
      <c r="H13" s="105"/>
      <c r="I13" s="3" t="str">
        <f t="shared" si="12"/>
        <v/>
      </c>
      <c r="J13" s="26"/>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c r="BU13" s="26"/>
      <c r="BV13" s="26"/>
      <c r="BW13" s="26"/>
      <c r="BX13" s="26"/>
      <c r="BY13" s="26"/>
      <c r="BZ13" s="26"/>
      <c r="CA13" s="26"/>
      <c r="CB13" s="26"/>
      <c r="CC13" s="26"/>
      <c r="CD13" s="26"/>
      <c r="CE13" s="26"/>
      <c r="CF13" s="26"/>
      <c r="CG13" s="26"/>
      <c r="CH13" s="26"/>
      <c r="CI13" s="26"/>
      <c r="CJ13" s="26"/>
      <c r="CK13" s="26"/>
      <c r="CL13" s="26"/>
      <c r="CM13" s="26"/>
      <c r="CN13" s="26"/>
      <c r="CO13" s="26"/>
      <c r="CP13" s="26"/>
      <c r="CQ13" s="26"/>
      <c r="CR13" s="26"/>
      <c r="CS13" s="26"/>
      <c r="CT13" s="26"/>
      <c r="CU13" s="26"/>
      <c r="CV13" s="26"/>
      <c r="CW13" s="26"/>
      <c r="CX13" s="26"/>
      <c r="CY13" s="26"/>
      <c r="CZ13" s="26"/>
      <c r="DA13" s="26"/>
      <c r="DB13" s="26"/>
      <c r="DC13" s="26"/>
      <c r="DD13" s="26"/>
      <c r="DE13" s="26"/>
      <c r="DF13" s="26"/>
      <c r="DG13" s="26"/>
      <c r="DH13" s="26"/>
      <c r="DI13" s="26"/>
      <c r="DJ13" s="26"/>
      <c r="DK13" s="26"/>
      <c r="DL13" s="26"/>
      <c r="DM13" s="26"/>
      <c r="DN13" s="26"/>
      <c r="DO13" s="26"/>
      <c r="DP13" s="26"/>
      <c r="DQ13" s="26"/>
      <c r="DR13" s="26"/>
      <c r="DS13" s="26"/>
      <c r="DT13" s="26"/>
      <c r="DU13" s="26"/>
      <c r="DV13" s="26"/>
      <c r="DW13" s="26"/>
      <c r="DX13" s="26"/>
      <c r="DY13" s="26"/>
      <c r="DZ13" s="26"/>
      <c r="EA13" s="26"/>
      <c r="EB13" s="26"/>
      <c r="EC13" s="26"/>
      <c r="ED13" s="26"/>
      <c r="EE13" s="26"/>
      <c r="EF13" s="26"/>
      <c r="EG13" s="26"/>
      <c r="EH13" s="26"/>
      <c r="EI13" s="26"/>
      <c r="EJ13" s="26"/>
      <c r="EK13" s="26"/>
      <c r="EL13" s="26"/>
      <c r="EM13" s="26"/>
      <c r="EN13" s="26"/>
      <c r="EO13" s="26"/>
      <c r="EP13" s="26"/>
      <c r="EQ13" s="26"/>
      <c r="ER13" s="26"/>
      <c r="ES13" s="26"/>
      <c r="ET13" s="26"/>
      <c r="EU13" s="26"/>
      <c r="EV13" s="26"/>
      <c r="EW13" s="26"/>
      <c r="EX13" s="26"/>
      <c r="EY13" s="26"/>
      <c r="EZ13" s="26"/>
      <c r="FA13" s="26"/>
      <c r="FB13" s="26"/>
      <c r="FC13" s="26"/>
      <c r="FD13" s="26"/>
      <c r="FE13" s="26"/>
      <c r="FF13" s="26"/>
      <c r="FG13" s="26"/>
      <c r="FH13" s="26"/>
      <c r="FI13" s="26"/>
      <c r="FJ13" s="26"/>
      <c r="FK13" s="26"/>
      <c r="FL13" s="26"/>
      <c r="FM13" s="26"/>
      <c r="FN13" s="26"/>
      <c r="FO13" s="26"/>
      <c r="FP13" s="26"/>
      <c r="FQ13" s="26"/>
      <c r="FR13" s="26"/>
      <c r="FS13" s="26"/>
      <c r="FT13" s="26"/>
      <c r="FU13" s="26"/>
      <c r="FV13" s="26"/>
      <c r="FW13" s="26"/>
      <c r="FX13" s="26"/>
      <c r="FY13" s="26"/>
      <c r="FZ13" s="26"/>
      <c r="GA13" s="26"/>
      <c r="GB13" s="26"/>
      <c r="GC13" s="26"/>
      <c r="GD13" s="26"/>
      <c r="GE13" s="26"/>
      <c r="GF13" s="26"/>
      <c r="GG13" s="26"/>
      <c r="GH13" s="26"/>
      <c r="GI13" s="123"/>
    </row>
    <row r="14" spans="1:191" s="21" customFormat="1" ht="30" customHeight="1" thickBot="1" x14ac:dyDescent="0.2">
      <c r="A14" s="121" t="s">
        <v>46</v>
      </c>
      <c r="B14" s="33" t="s">
        <v>47</v>
      </c>
      <c r="C14" s="33" t="s">
        <v>41</v>
      </c>
      <c r="D14" s="34" t="s">
        <v>48</v>
      </c>
      <c r="E14" s="35">
        <v>1</v>
      </c>
      <c r="F14" s="36">
        <f>G12</f>
        <v>45957</v>
      </c>
      <c r="G14" s="36">
        <f>F14+30</f>
        <v>45987</v>
      </c>
      <c r="H14" s="33" t="s">
        <v>49</v>
      </c>
      <c r="I14" s="3">
        <f t="shared" si="12"/>
        <v>31</v>
      </c>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c r="CC14" s="26"/>
      <c r="CD14" s="26"/>
      <c r="CE14" s="26"/>
      <c r="CF14" s="26"/>
      <c r="CG14" s="26"/>
      <c r="CH14" s="26"/>
      <c r="CI14" s="26"/>
      <c r="CJ14" s="26"/>
      <c r="CK14" s="26"/>
      <c r="CL14" s="26"/>
      <c r="CM14" s="26"/>
      <c r="CN14" s="26"/>
      <c r="CO14" s="26"/>
      <c r="CP14" s="26"/>
      <c r="CQ14" s="26"/>
      <c r="CR14" s="26"/>
      <c r="CS14" s="26"/>
      <c r="CT14" s="26"/>
      <c r="CU14" s="26"/>
      <c r="CV14" s="26"/>
      <c r="CW14" s="26"/>
      <c r="CX14" s="26"/>
      <c r="CY14" s="26"/>
      <c r="CZ14" s="26"/>
      <c r="DA14" s="26"/>
      <c r="DB14" s="26"/>
      <c r="DC14" s="26"/>
      <c r="DD14" s="26"/>
      <c r="DE14" s="26"/>
      <c r="DF14" s="26"/>
      <c r="DG14" s="26"/>
      <c r="DH14" s="26"/>
      <c r="DI14" s="26"/>
      <c r="DJ14" s="26"/>
      <c r="DK14" s="26"/>
      <c r="DL14" s="26"/>
      <c r="DM14" s="26"/>
      <c r="DN14" s="26"/>
      <c r="DO14" s="26"/>
      <c r="DP14" s="26"/>
      <c r="DQ14" s="26"/>
      <c r="DR14" s="26"/>
      <c r="DS14" s="26"/>
      <c r="DT14" s="26"/>
      <c r="DU14" s="26"/>
      <c r="DV14" s="26"/>
      <c r="DW14" s="26"/>
      <c r="DX14" s="26"/>
      <c r="DY14" s="26"/>
      <c r="DZ14" s="26"/>
      <c r="EA14" s="26"/>
      <c r="EB14" s="26"/>
      <c r="EC14" s="26"/>
      <c r="ED14" s="26"/>
      <c r="EE14" s="26"/>
      <c r="EF14" s="26"/>
      <c r="EG14" s="26"/>
      <c r="EH14" s="26"/>
      <c r="EI14" s="26"/>
      <c r="EJ14" s="26"/>
      <c r="EK14" s="26"/>
      <c r="EL14" s="26"/>
      <c r="EM14" s="26"/>
      <c r="EN14" s="26"/>
      <c r="EO14" s="26"/>
      <c r="EP14" s="26"/>
      <c r="EQ14" s="26"/>
      <c r="ER14" s="26"/>
      <c r="ES14" s="26"/>
      <c r="ET14" s="26"/>
      <c r="EU14" s="26"/>
      <c r="EV14" s="26"/>
      <c r="EW14" s="26"/>
      <c r="EX14" s="26"/>
      <c r="EY14" s="26"/>
      <c r="EZ14" s="26"/>
      <c r="FA14" s="26"/>
      <c r="FB14" s="26"/>
      <c r="FC14" s="26"/>
      <c r="FD14" s="26"/>
      <c r="FE14" s="26"/>
      <c r="FF14" s="26"/>
      <c r="FG14" s="26"/>
      <c r="FH14" s="26"/>
      <c r="FI14" s="26"/>
      <c r="FJ14" s="26"/>
      <c r="FK14" s="26"/>
      <c r="FL14" s="26"/>
      <c r="FM14" s="26"/>
      <c r="FN14" s="26"/>
      <c r="FO14" s="26"/>
      <c r="FP14" s="26"/>
      <c r="FQ14" s="26"/>
      <c r="FR14" s="26"/>
      <c r="FS14" s="26"/>
      <c r="FT14" s="26"/>
      <c r="FU14" s="26"/>
      <c r="FV14" s="26"/>
      <c r="FW14" s="26"/>
      <c r="FX14" s="26"/>
      <c r="FY14" s="26"/>
      <c r="FZ14" s="26"/>
      <c r="GA14" s="26"/>
      <c r="GB14" s="26"/>
      <c r="GC14" s="26"/>
      <c r="GD14" s="26"/>
      <c r="GE14" s="26"/>
      <c r="GF14" s="26"/>
      <c r="GG14" s="26"/>
      <c r="GH14" s="26"/>
      <c r="GI14" s="123"/>
    </row>
    <row r="15" spans="1:191" s="21" customFormat="1" ht="30" customHeight="1" thickBot="1" x14ac:dyDescent="0.2">
      <c r="A15" s="121" t="s">
        <v>50</v>
      </c>
      <c r="B15" s="33" t="s">
        <v>51</v>
      </c>
      <c r="C15" s="33" t="s">
        <v>41</v>
      </c>
      <c r="D15" s="34" t="s">
        <v>52</v>
      </c>
      <c r="E15" s="35">
        <v>1</v>
      </c>
      <c r="F15" s="36">
        <f>G12</f>
        <v>45957</v>
      </c>
      <c r="G15" s="36">
        <f>F15+35</f>
        <v>45992</v>
      </c>
      <c r="H15" s="33" t="s">
        <v>53</v>
      </c>
      <c r="I15" s="3">
        <f t="shared" si="12"/>
        <v>36</v>
      </c>
      <c r="J15" s="26"/>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c r="CC15" s="26"/>
      <c r="CD15" s="26"/>
      <c r="CE15" s="26"/>
      <c r="CF15" s="26"/>
      <c r="CG15" s="26"/>
      <c r="CH15" s="26"/>
      <c r="CI15" s="26"/>
      <c r="CJ15" s="26"/>
      <c r="CK15" s="26"/>
      <c r="CL15" s="26"/>
      <c r="CM15" s="26"/>
      <c r="CN15" s="26"/>
      <c r="CO15" s="26"/>
      <c r="CP15" s="26"/>
      <c r="CQ15" s="26"/>
      <c r="CR15" s="26"/>
      <c r="CS15" s="26"/>
      <c r="CT15" s="26"/>
      <c r="CU15" s="26"/>
      <c r="CV15" s="26"/>
      <c r="CW15" s="26"/>
      <c r="CX15" s="26"/>
      <c r="CY15" s="26"/>
      <c r="CZ15" s="26"/>
      <c r="DA15" s="26"/>
      <c r="DB15" s="26"/>
      <c r="DC15" s="26"/>
      <c r="DD15" s="26"/>
      <c r="DE15" s="26"/>
      <c r="DF15" s="26"/>
      <c r="DG15" s="26"/>
      <c r="DH15" s="26"/>
      <c r="DI15" s="26"/>
      <c r="DJ15" s="26"/>
      <c r="DK15" s="26"/>
      <c r="DL15" s="26"/>
      <c r="DM15" s="26"/>
      <c r="DN15" s="26"/>
      <c r="DO15" s="26"/>
      <c r="DP15" s="26"/>
      <c r="DQ15" s="26"/>
      <c r="DR15" s="26"/>
      <c r="DS15" s="26"/>
      <c r="DT15" s="26"/>
      <c r="DU15" s="26"/>
      <c r="DV15" s="26"/>
      <c r="DW15" s="26"/>
      <c r="DX15" s="26"/>
      <c r="DY15" s="26"/>
      <c r="DZ15" s="26"/>
      <c r="EA15" s="26"/>
      <c r="EB15" s="26"/>
      <c r="EC15" s="26"/>
      <c r="ED15" s="26"/>
      <c r="EE15" s="26"/>
      <c r="EF15" s="26"/>
      <c r="EG15" s="26"/>
      <c r="EH15" s="26"/>
      <c r="EI15" s="26"/>
      <c r="EJ15" s="26"/>
      <c r="EK15" s="26"/>
      <c r="EL15" s="26"/>
      <c r="EM15" s="26"/>
      <c r="EN15" s="26"/>
      <c r="EO15" s="26"/>
      <c r="EP15" s="26"/>
      <c r="EQ15" s="26"/>
      <c r="ER15" s="26"/>
      <c r="ES15" s="26"/>
      <c r="ET15" s="26"/>
      <c r="EU15" s="26"/>
      <c r="EV15" s="26"/>
      <c r="EW15" s="26"/>
      <c r="EX15" s="26"/>
      <c r="EY15" s="26"/>
      <c r="EZ15" s="26"/>
      <c r="FA15" s="26"/>
      <c r="FB15" s="26"/>
      <c r="FC15" s="26"/>
      <c r="FD15" s="26"/>
      <c r="FE15" s="26"/>
      <c r="FF15" s="26"/>
      <c r="FG15" s="26"/>
      <c r="FH15" s="26"/>
      <c r="FI15" s="26"/>
      <c r="FJ15" s="26"/>
      <c r="FK15" s="26"/>
      <c r="FL15" s="26"/>
      <c r="FM15" s="26"/>
      <c r="FN15" s="26"/>
      <c r="FO15" s="26"/>
      <c r="FP15" s="26"/>
      <c r="FQ15" s="26"/>
      <c r="FR15" s="26"/>
      <c r="FS15" s="26"/>
      <c r="FT15" s="26"/>
      <c r="FU15" s="26"/>
      <c r="FV15" s="26"/>
      <c r="FW15" s="26"/>
      <c r="FX15" s="26"/>
      <c r="FY15" s="26"/>
      <c r="FZ15" s="26"/>
      <c r="GA15" s="26"/>
      <c r="GB15" s="26"/>
      <c r="GC15" s="26"/>
      <c r="GD15" s="26"/>
      <c r="GE15" s="26"/>
      <c r="GF15" s="26"/>
      <c r="GG15" s="26"/>
      <c r="GH15" s="26"/>
      <c r="GI15" s="123"/>
    </row>
    <row r="16" spans="1:191" s="21" customFormat="1" ht="30" customHeight="1" thickBot="1" x14ac:dyDescent="0.2">
      <c r="A16" s="121" t="s">
        <v>54</v>
      </c>
      <c r="B16" s="33" t="s">
        <v>55</v>
      </c>
      <c r="C16" s="33" t="s">
        <v>41</v>
      </c>
      <c r="D16" s="34" t="s">
        <v>56</v>
      </c>
      <c r="E16" s="35">
        <v>1</v>
      </c>
      <c r="F16" s="36">
        <f>G12+13</f>
        <v>45970</v>
      </c>
      <c r="G16" s="36">
        <f>F16+40</f>
        <v>46010</v>
      </c>
      <c r="H16" s="33" t="s">
        <v>57</v>
      </c>
      <c r="I16" s="3">
        <f t="shared" si="12"/>
        <v>41</v>
      </c>
      <c r="J16" s="26"/>
      <c r="K16" s="26"/>
      <c r="L16" s="26"/>
      <c r="M16" s="26"/>
      <c r="N16" s="26"/>
      <c r="O16" s="26"/>
      <c r="P16" s="26"/>
      <c r="Q16" s="26"/>
      <c r="R16" s="26"/>
      <c r="S16" s="26"/>
      <c r="T16" s="26"/>
      <c r="U16" s="26"/>
      <c r="V16" s="31"/>
      <c r="W16" s="31"/>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c r="CC16" s="26"/>
      <c r="CD16" s="26"/>
      <c r="CE16" s="26"/>
      <c r="CF16" s="26"/>
      <c r="CG16" s="26"/>
      <c r="CH16" s="26"/>
      <c r="CI16" s="26"/>
      <c r="CJ16" s="26"/>
      <c r="CK16" s="26"/>
      <c r="CL16" s="26"/>
      <c r="CM16" s="26"/>
      <c r="CN16" s="26"/>
      <c r="CO16" s="26"/>
      <c r="CP16" s="26"/>
      <c r="CQ16" s="26"/>
      <c r="CR16" s="26"/>
      <c r="CS16" s="26"/>
      <c r="CT16" s="26"/>
      <c r="CU16" s="26"/>
      <c r="CV16" s="26"/>
      <c r="CW16" s="26"/>
      <c r="CX16" s="26"/>
      <c r="CY16" s="26"/>
      <c r="CZ16" s="26"/>
      <c r="DA16" s="26"/>
      <c r="DB16" s="26"/>
      <c r="DC16" s="26"/>
      <c r="DD16" s="26"/>
      <c r="DE16" s="26"/>
      <c r="DF16" s="26"/>
      <c r="DG16" s="26"/>
      <c r="DH16" s="26"/>
      <c r="DI16" s="26"/>
      <c r="DJ16" s="26"/>
      <c r="DK16" s="26"/>
      <c r="DL16" s="26"/>
      <c r="DM16" s="26"/>
      <c r="DN16" s="26"/>
      <c r="DO16" s="26"/>
      <c r="DP16" s="26"/>
      <c r="DQ16" s="26"/>
      <c r="DR16" s="26"/>
      <c r="DS16" s="26"/>
      <c r="DT16" s="26"/>
      <c r="DU16" s="26"/>
      <c r="DV16" s="26"/>
      <c r="DW16" s="26"/>
      <c r="DX16" s="26"/>
      <c r="DY16" s="26"/>
      <c r="DZ16" s="26"/>
      <c r="EA16" s="26"/>
      <c r="EB16" s="26"/>
      <c r="EC16" s="26"/>
      <c r="ED16" s="26"/>
      <c r="EE16" s="26"/>
      <c r="EF16" s="26"/>
      <c r="EG16" s="26"/>
      <c r="EH16" s="26"/>
      <c r="EI16" s="26"/>
      <c r="EJ16" s="26"/>
      <c r="EK16" s="26"/>
      <c r="EL16" s="26"/>
      <c r="EM16" s="26"/>
      <c r="EN16" s="26"/>
      <c r="EO16" s="26"/>
      <c r="EP16" s="26"/>
      <c r="EQ16" s="26"/>
      <c r="ER16" s="26"/>
      <c r="ES16" s="26"/>
      <c r="ET16" s="26"/>
      <c r="EU16" s="26"/>
      <c r="EV16" s="26"/>
      <c r="EW16" s="26"/>
      <c r="EX16" s="26"/>
      <c r="EY16" s="26"/>
      <c r="EZ16" s="26"/>
      <c r="FA16" s="26"/>
      <c r="FB16" s="26"/>
      <c r="FC16" s="26"/>
      <c r="FD16" s="26"/>
      <c r="FE16" s="26"/>
      <c r="FF16" s="26"/>
      <c r="FG16" s="26"/>
      <c r="FH16" s="26"/>
      <c r="FI16" s="26"/>
      <c r="FJ16" s="26"/>
      <c r="FK16" s="26"/>
      <c r="FL16" s="26"/>
      <c r="FM16" s="26"/>
      <c r="FN16" s="26"/>
      <c r="FO16" s="26"/>
      <c r="FP16" s="26"/>
      <c r="FQ16" s="26"/>
      <c r="FR16" s="26"/>
      <c r="FS16" s="26"/>
      <c r="FT16" s="26"/>
      <c r="FU16" s="26"/>
      <c r="FV16" s="26"/>
      <c r="FW16" s="26"/>
      <c r="FX16" s="26"/>
      <c r="FY16" s="26"/>
      <c r="FZ16" s="26"/>
      <c r="GA16" s="26"/>
      <c r="GB16" s="26"/>
      <c r="GC16" s="26"/>
      <c r="GD16" s="26"/>
      <c r="GE16" s="26"/>
      <c r="GF16" s="26"/>
      <c r="GG16" s="26"/>
      <c r="GH16" s="26"/>
      <c r="GI16" s="123"/>
    </row>
    <row r="17" spans="1:191" s="21" customFormat="1" ht="30" customHeight="1" thickBot="1" x14ac:dyDescent="0.2">
      <c r="A17" s="121" t="s">
        <v>58</v>
      </c>
      <c r="B17" s="33" t="s">
        <v>59</v>
      </c>
      <c r="C17" s="33" t="s">
        <v>41</v>
      </c>
      <c r="D17" s="34" t="s">
        <v>35</v>
      </c>
      <c r="E17" s="35">
        <v>1</v>
      </c>
      <c r="F17" s="36">
        <f>G14</f>
        <v>45987</v>
      </c>
      <c r="G17" s="36">
        <f>G14+10</f>
        <v>45997</v>
      </c>
      <c r="H17" s="33" t="s">
        <v>60</v>
      </c>
      <c r="I17" s="3"/>
      <c r="J17" s="26"/>
      <c r="K17" s="26"/>
      <c r="L17" s="26"/>
      <c r="M17" s="26"/>
      <c r="N17" s="26"/>
      <c r="O17" s="26"/>
      <c r="P17" s="26"/>
      <c r="Q17" s="26"/>
      <c r="R17" s="26"/>
      <c r="S17" s="26"/>
      <c r="T17" s="26"/>
      <c r="U17" s="26"/>
      <c r="V17" s="31"/>
      <c r="W17" s="31"/>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c r="CC17" s="26"/>
      <c r="CD17" s="26"/>
      <c r="CE17" s="26"/>
      <c r="CF17" s="26"/>
      <c r="CG17" s="26"/>
      <c r="CH17" s="26"/>
      <c r="CI17" s="26"/>
      <c r="CJ17" s="26"/>
      <c r="CK17" s="26"/>
      <c r="CL17" s="26"/>
      <c r="CM17" s="26"/>
      <c r="CN17" s="26"/>
      <c r="CO17" s="26"/>
      <c r="CP17" s="26"/>
      <c r="CQ17" s="26"/>
      <c r="CR17" s="26"/>
      <c r="CS17" s="26"/>
      <c r="CT17" s="26"/>
      <c r="CU17" s="26"/>
      <c r="CV17" s="26"/>
      <c r="CW17" s="26"/>
      <c r="CX17" s="26"/>
      <c r="CY17" s="26"/>
      <c r="CZ17" s="26"/>
      <c r="DA17" s="26"/>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c r="EY17" s="26"/>
      <c r="EZ17" s="26"/>
      <c r="FA17" s="26"/>
      <c r="FB17" s="26"/>
      <c r="FC17" s="26"/>
      <c r="FD17" s="26"/>
      <c r="FE17" s="26"/>
      <c r="FF17" s="26"/>
      <c r="FG17" s="26"/>
      <c r="FH17" s="26"/>
      <c r="FI17" s="26"/>
      <c r="FJ17" s="26"/>
      <c r="FK17" s="26"/>
      <c r="FL17" s="26"/>
      <c r="FM17" s="26"/>
      <c r="FN17" s="26"/>
      <c r="FO17" s="26"/>
      <c r="FP17" s="26"/>
      <c r="FQ17" s="26"/>
      <c r="FR17" s="26"/>
      <c r="FS17" s="26"/>
      <c r="FT17" s="26"/>
      <c r="FU17" s="26"/>
      <c r="FV17" s="26"/>
      <c r="FW17" s="26"/>
      <c r="FX17" s="26"/>
      <c r="FY17" s="26"/>
      <c r="FZ17" s="26"/>
      <c r="GA17" s="26"/>
      <c r="GB17" s="26"/>
      <c r="GC17" s="26"/>
      <c r="GD17" s="26"/>
      <c r="GE17" s="26"/>
      <c r="GF17" s="26"/>
      <c r="GG17" s="26"/>
      <c r="GH17" s="26"/>
      <c r="GI17" s="123"/>
    </row>
    <row r="18" spans="1:191" s="21" customFormat="1" ht="30" customHeight="1" thickBot="1" x14ac:dyDescent="0.2">
      <c r="A18" s="121" t="s">
        <v>61</v>
      </c>
      <c r="B18" s="33" t="s">
        <v>62</v>
      </c>
      <c r="C18" s="33" t="s">
        <v>41</v>
      </c>
      <c r="D18" s="34" t="s">
        <v>52</v>
      </c>
      <c r="E18" s="35">
        <v>1</v>
      </c>
      <c r="F18" s="36">
        <f>G16+10</f>
        <v>46020</v>
      </c>
      <c r="G18" s="36">
        <f>F18+20</f>
        <v>46040</v>
      </c>
      <c r="H18" s="33" t="s">
        <v>63</v>
      </c>
      <c r="I18" s="3">
        <f t="shared" ref="I18:I23" si="13">IF(OR(ISBLANK(task_start),ISBLANK(task_end)),"",task_end-task_start+1)</f>
        <v>21</v>
      </c>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c r="CC18" s="26"/>
      <c r="CD18" s="26"/>
      <c r="CE18" s="26"/>
      <c r="CF18" s="26"/>
      <c r="CG18" s="26"/>
      <c r="CH18" s="26"/>
      <c r="CI18" s="26"/>
      <c r="CJ18" s="26"/>
      <c r="CK18" s="26"/>
      <c r="CL18" s="26"/>
      <c r="CM18" s="26"/>
      <c r="CN18" s="26"/>
      <c r="CO18" s="26"/>
      <c r="CP18" s="26"/>
      <c r="CQ18" s="26"/>
      <c r="CR18" s="26"/>
      <c r="CS18" s="26"/>
      <c r="CT18" s="26"/>
      <c r="CU18" s="26"/>
      <c r="CV18" s="26"/>
      <c r="CW18" s="26"/>
      <c r="CX18" s="26"/>
      <c r="CY18" s="26"/>
      <c r="CZ18" s="26"/>
      <c r="DA18" s="26"/>
      <c r="DB18" s="26"/>
      <c r="DC18" s="26"/>
      <c r="DD18" s="26"/>
      <c r="DE18" s="26"/>
      <c r="DF18" s="26"/>
      <c r="DG18" s="26"/>
      <c r="DH18" s="26"/>
      <c r="DI18" s="26"/>
      <c r="DJ18" s="26"/>
      <c r="DK18" s="26"/>
      <c r="DL18" s="26"/>
      <c r="DM18" s="26"/>
      <c r="DN18" s="26"/>
      <c r="DO18" s="26"/>
      <c r="DP18" s="26"/>
      <c r="DQ18" s="26"/>
      <c r="DR18" s="26"/>
      <c r="DS18" s="26"/>
      <c r="DT18" s="26"/>
      <c r="DU18" s="26"/>
      <c r="DV18" s="26"/>
      <c r="DW18" s="26"/>
      <c r="DX18" s="26"/>
      <c r="DY18" s="26"/>
      <c r="DZ18" s="26"/>
      <c r="EA18" s="26"/>
      <c r="EB18" s="26"/>
      <c r="EC18" s="26"/>
      <c r="ED18" s="26"/>
      <c r="EE18" s="26"/>
      <c r="EF18" s="26"/>
      <c r="EG18" s="26"/>
      <c r="EH18" s="26"/>
      <c r="EI18" s="26"/>
      <c r="EJ18" s="26"/>
      <c r="EK18" s="26"/>
      <c r="EL18" s="26"/>
      <c r="EM18" s="26"/>
      <c r="EN18" s="26"/>
      <c r="EO18" s="26"/>
      <c r="EP18" s="26"/>
      <c r="EQ18" s="26"/>
      <c r="ER18" s="26"/>
      <c r="ES18" s="26"/>
      <c r="ET18" s="26"/>
      <c r="EU18" s="26"/>
      <c r="EV18" s="26"/>
      <c r="EW18" s="26"/>
      <c r="EX18" s="26"/>
      <c r="EY18" s="26"/>
      <c r="EZ18" s="26"/>
      <c r="FA18" s="26"/>
      <c r="FB18" s="26"/>
      <c r="FC18" s="26"/>
      <c r="FD18" s="26"/>
      <c r="FE18" s="26"/>
      <c r="FF18" s="26"/>
      <c r="FG18" s="26"/>
      <c r="FH18" s="26"/>
      <c r="FI18" s="26"/>
      <c r="FJ18" s="26"/>
      <c r="FK18" s="26"/>
      <c r="FL18" s="26"/>
      <c r="FM18" s="26"/>
      <c r="FN18" s="26"/>
      <c r="FO18" s="26"/>
      <c r="FP18" s="26"/>
      <c r="FQ18" s="26"/>
      <c r="FR18" s="26"/>
      <c r="FS18" s="26"/>
      <c r="FT18" s="26"/>
      <c r="FU18" s="26"/>
      <c r="FV18" s="26"/>
      <c r="FW18" s="26"/>
      <c r="FX18" s="26"/>
      <c r="FY18" s="26"/>
      <c r="FZ18" s="26"/>
      <c r="GA18" s="26"/>
      <c r="GB18" s="26"/>
      <c r="GC18" s="26"/>
      <c r="GD18" s="26"/>
      <c r="GE18" s="26"/>
      <c r="GF18" s="26"/>
      <c r="GG18" s="26"/>
      <c r="GH18" s="26"/>
      <c r="GI18" s="123"/>
    </row>
    <row r="19" spans="1:191" s="21" customFormat="1" ht="30" customHeight="1" thickBot="1" x14ac:dyDescent="0.2">
      <c r="A19" s="121"/>
      <c r="B19" s="106" t="s">
        <v>64</v>
      </c>
      <c r="C19" s="106"/>
      <c r="D19" s="37"/>
      <c r="E19" s="107"/>
      <c r="F19" s="108"/>
      <c r="G19" s="109"/>
      <c r="H19" s="109"/>
      <c r="I19" s="3" t="str">
        <f t="shared" si="13"/>
        <v/>
      </c>
      <c r="J19" s="26"/>
      <c r="K19" s="26"/>
      <c r="L19" s="26"/>
      <c r="M19" s="26"/>
      <c r="N19" s="26"/>
      <c r="O19" s="26"/>
      <c r="P19" s="26"/>
      <c r="Q19" s="26"/>
      <c r="R19" s="26"/>
      <c r="S19" s="26"/>
      <c r="T19" s="26"/>
      <c r="U19" s="26"/>
      <c r="V19" s="26"/>
      <c r="W19" s="26"/>
      <c r="X19" s="26"/>
      <c r="Y19" s="26"/>
      <c r="Z19" s="31"/>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c r="CC19" s="26"/>
      <c r="CD19" s="26"/>
      <c r="CE19" s="26"/>
      <c r="CF19" s="26"/>
      <c r="CG19" s="26"/>
      <c r="CH19" s="26"/>
      <c r="CI19" s="26"/>
      <c r="CJ19" s="26"/>
      <c r="CK19" s="26"/>
      <c r="CL19" s="26"/>
      <c r="CM19" s="26"/>
      <c r="CN19" s="26"/>
      <c r="CO19" s="26"/>
      <c r="CP19" s="26"/>
      <c r="CQ19" s="26"/>
      <c r="CR19" s="26"/>
      <c r="CS19" s="26"/>
      <c r="CT19" s="26"/>
      <c r="CU19" s="26"/>
      <c r="CV19" s="26"/>
      <c r="CW19" s="26"/>
      <c r="CX19" s="26"/>
      <c r="CY19" s="26"/>
      <c r="CZ19" s="26"/>
      <c r="DA19" s="26"/>
      <c r="DB19" s="26"/>
      <c r="DC19" s="26"/>
      <c r="DD19" s="26"/>
      <c r="DE19" s="26"/>
      <c r="DF19" s="26"/>
      <c r="DG19" s="26"/>
      <c r="DH19" s="26"/>
      <c r="DI19" s="26"/>
      <c r="DJ19" s="26"/>
      <c r="DK19" s="26"/>
      <c r="DL19" s="26"/>
      <c r="DM19" s="26"/>
      <c r="DN19" s="26"/>
      <c r="DO19" s="26"/>
      <c r="DP19" s="26"/>
      <c r="DQ19" s="26"/>
      <c r="DR19" s="26"/>
      <c r="DS19" s="26"/>
      <c r="DT19" s="26"/>
      <c r="DU19" s="26"/>
      <c r="DV19" s="26"/>
      <c r="DW19" s="26"/>
      <c r="DX19" s="26"/>
      <c r="DY19" s="26"/>
      <c r="DZ19" s="26"/>
      <c r="EA19" s="26"/>
      <c r="EB19" s="26"/>
      <c r="EC19" s="26"/>
      <c r="ED19" s="26"/>
      <c r="EE19" s="26"/>
      <c r="EF19" s="26"/>
      <c r="EG19" s="26"/>
      <c r="EH19" s="26"/>
      <c r="EI19" s="26"/>
      <c r="EJ19" s="26"/>
      <c r="EK19" s="26"/>
      <c r="EL19" s="26"/>
      <c r="EM19" s="26"/>
      <c r="EN19" s="26"/>
      <c r="EO19" s="26"/>
      <c r="EP19" s="26"/>
      <c r="EQ19" s="26"/>
      <c r="ER19" s="26"/>
      <c r="ES19" s="26"/>
      <c r="ET19" s="26"/>
      <c r="EU19" s="26"/>
      <c r="EV19" s="26"/>
      <c r="EW19" s="26"/>
      <c r="EX19" s="26"/>
      <c r="EY19" s="26"/>
      <c r="EZ19" s="26"/>
      <c r="FA19" s="26"/>
      <c r="FB19" s="26"/>
      <c r="FC19" s="26"/>
      <c r="FD19" s="26"/>
      <c r="FE19" s="26"/>
      <c r="FF19" s="26"/>
      <c r="FG19" s="26"/>
      <c r="FH19" s="26"/>
      <c r="FI19" s="26"/>
      <c r="FJ19" s="26"/>
      <c r="FK19" s="26"/>
      <c r="FL19" s="26"/>
      <c r="FM19" s="26"/>
      <c r="FN19" s="26"/>
      <c r="FO19" s="26"/>
      <c r="FP19" s="26"/>
      <c r="FQ19" s="26"/>
      <c r="FR19" s="26"/>
      <c r="FS19" s="26"/>
      <c r="FT19" s="26"/>
      <c r="FU19" s="26"/>
      <c r="FV19" s="26"/>
      <c r="FW19" s="26"/>
      <c r="FX19" s="26"/>
      <c r="FY19" s="26"/>
      <c r="FZ19" s="26"/>
      <c r="GA19" s="26"/>
      <c r="GB19" s="26"/>
      <c r="GC19" s="26"/>
      <c r="GD19" s="26"/>
      <c r="GE19" s="26"/>
      <c r="GF19" s="26"/>
      <c r="GG19" s="26"/>
      <c r="GH19" s="26"/>
      <c r="GI19" s="123"/>
    </row>
    <row r="20" spans="1:191" s="21" customFormat="1" ht="30" customHeight="1" thickBot="1" x14ac:dyDescent="0.2">
      <c r="A20" s="121" t="s">
        <v>65</v>
      </c>
      <c r="B20" s="38" t="s">
        <v>66</v>
      </c>
      <c r="C20" s="38" t="s">
        <v>67</v>
      </c>
      <c r="D20" s="39" t="s">
        <v>68</v>
      </c>
      <c r="E20" s="40">
        <v>1</v>
      </c>
      <c r="F20" s="41">
        <f>G14</f>
        <v>45987</v>
      </c>
      <c r="G20" s="41">
        <f>F20+30</f>
        <v>46017</v>
      </c>
      <c r="H20" s="38" t="s">
        <v>69</v>
      </c>
      <c r="I20" s="3">
        <f t="shared" si="13"/>
        <v>31</v>
      </c>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c r="CC20" s="26"/>
      <c r="CD20" s="26"/>
      <c r="CE20" s="26"/>
      <c r="CF20" s="26"/>
      <c r="CG20" s="26"/>
      <c r="CH20" s="26"/>
      <c r="CI20" s="26"/>
      <c r="CJ20" s="26"/>
      <c r="CK20" s="26"/>
      <c r="CL20" s="26"/>
      <c r="CM20" s="26"/>
      <c r="CN20" s="26"/>
      <c r="CO20" s="26"/>
      <c r="CP20" s="26"/>
      <c r="CQ20" s="26"/>
      <c r="CR20" s="26"/>
      <c r="CS20" s="26"/>
      <c r="CT20" s="26"/>
      <c r="CU20" s="26"/>
      <c r="CV20" s="26"/>
      <c r="CW20" s="26"/>
      <c r="CX20" s="26"/>
      <c r="CY20" s="26"/>
      <c r="CZ20" s="26"/>
      <c r="DA20" s="26"/>
      <c r="DB20" s="26"/>
      <c r="DC20" s="26"/>
      <c r="DD20" s="26"/>
      <c r="DE20" s="26"/>
      <c r="DF20" s="26"/>
      <c r="DG20" s="26"/>
      <c r="DH20" s="26"/>
      <c r="DI20" s="26"/>
      <c r="DJ20" s="26"/>
      <c r="DK20" s="26"/>
      <c r="DL20" s="26"/>
      <c r="DM20" s="26"/>
      <c r="DN20" s="26"/>
      <c r="DO20" s="26"/>
      <c r="DP20" s="26"/>
      <c r="DQ20" s="26"/>
      <c r="DR20" s="26"/>
      <c r="DS20" s="26"/>
      <c r="DT20" s="26"/>
      <c r="DU20" s="26"/>
      <c r="DV20" s="26"/>
      <c r="DW20" s="26"/>
      <c r="DX20" s="26"/>
      <c r="DY20" s="26"/>
      <c r="DZ20" s="26"/>
      <c r="EA20" s="26"/>
      <c r="EB20" s="26"/>
      <c r="EC20" s="26"/>
      <c r="ED20" s="26"/>
      <c r="EE20" s="26"/>
      <c r="EF20" s="26"/>
      <c r="EG20" s="26"/>
      <c r="EH20" s="26"/>
      <c r="EI20" s="26"/>
      <c r="EJ20" s="26"/>
      <c r="EK20" s="26"/>
      <c r="EL20" s="26"/>
      <c r="EM20" s="26"/>
      <c r="EN20" s="26"/>
      <c r="EO20" s="26"/>
      <c r="EP20" s="26"/>
      <c r="EQ20" s="26"/>
      <c r="ER20" s="26"/>
      <c r="ES20" s="26"/>
      <c r="ET20" s="26"/>
      <c r="EU20" s="26"/>
      <c r="EV20" s="26"/>
      <c r="EW20" s="26"/>
      <c r="EX20" s="26"/>
      <c r="EY20" s="26"/>
      <c r="EZ20" s="26"/>
      <c r="FA20" s="26"/>
      <c r="FB20" s="26"/>
      <c r="FC20" s="26"/>
      <c r="FD20" s="26"/>
      <c r="FE20" s="26"/>
      <c r="FF20" s="26"/>
      <c r="FG20" s="26"/>
      <c r="FH20" s="26"/>
      <c r="FI20" s="26"/>
      <c r="FJ20" s="26"/>
      <c r="FK20" s="26"/>
      <c r="FL20" s="26"/>
      <c r="FM20" s="26"/>
      <c r="FN20" s="26"/>
      <c r="FO20" s="26"/>
      <c r="FP20" s="26"/>
      <c r="FQ20" s="26"/>
      <c r="FR20" s="26"/>
      <c r="FS20" s="26"/>
      <c r="FT20" s="26"/>
      <c r="FU20" s="26"/>
      <c r="FV20" s="26"/>
      <c r="FW20" s="26"/>
      <c r="FX20" s="26"/>
      <c r="FY20" s="26"/>
      <c r="FZ20" s="26"/>
      <c r="GA20" s="26"/>
      <c r="GB20" s="26"/>
      <c r="GC20" s="26"/>
      <c r="GD20" s="26"/>
      <c r="GE20" s="26"/>
      <c r="GF20" s="26"/>
      <c r="GG20" s="26"/>
      <c r="GH20" s="26"/>
      <c r="GI20" s="123"/>
    </row>
    <row r="21" spans="1:191" s="21" customFormat="1" ht="30" customHeight="1" thickBot="1" x14ac:dyDescent="0.2">
      <c r="A21" s="121" t="s">
        <v>70</v>
      </c>
      <c r="B21" s="38" t="s">
        <v>71</v>
      </c>
      <c r="C21" s="38" t="s">
        <v>67</v>
      </c>
      <c r="D21" s="39" t="s">
        <v>68</v>
      </c>
      <c r="E21" s="40">
        <v>1</v>
      </c>
      <c r="F21" s="41">
        <f>G20-7</f>
        <v>46010</v>
      </c>
      <c r="G21" s="41">
        <f>F21+30</f>
        <v>46040</v>
      </c>
      <c r="H21" s="38" t="s">
        <v>72</v>
      </c>
      <c r="I21" s="3">
        <f t="shared" si="13"/>
        <v>31</v>
      </c>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c r="BU21" s="26"/>
      <c r="BV21" s="26"/>
      <c r="BW21" s="26"/>
      <c r="BX21" s="26"/>
      <c r="BY21" s="26"/>
      <c r="BZ21" s="26"/>
      <c r="CA21" s="26"/>
      <c r="CB21" s="26"/>
      <c r="CC21" s="26"/>
      <c r="CD21" s="26"/>
      <c r="CE21" s="26"/>
      <c r="CF21" s="26"/>
      <c r="CG21" s="26"/>
      <c r="CH21" s="26"/>
      <c r="CI21" s="26"/>
      <c r="CJ21" s="26"/>
      <c r="CK21" s="26"/>
      <c r="CL21" s="26"/>
      <c r="CM21" s="26"/>
      <c r="CN21" s="26"/>
      <c r="CO21" s="26"/>
      <c r="CP21" s="26"/>
      <c r="CQ21" s="26"/>
      <c r="CR21" s="26"/>
      <c r="CS21" s="26"/>
      <c r="CT21" s="26"/>
      <c r="CU21" s="26"/>
      <c r="CV21" s="26"/>
      <c r="CW21" s="26"/>
      <c r="CX21" s="26"/>
      <c r="CY21" s="26"/>
      <c r="CZ21" s="26"/>
      <c r="DA21" s="26"/>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c r="EY21" s="26"/>
      <c r="EZ21" s="26"/>
      <c r="FA21" s="26"/>
      <c r="FB21" s="26"/>
      <c r="FC21" s="26"/>
      <c r="FD21" s="26"/>
      <c r="FE21" s="26"/>
      <c r="FF21" s="26"/>
      <c r="FG21" s="26"/>
      <c r="FH21" s="26"/>
      <c r="FI21" s="26"/>
      <c r="FJ21" s="26"/>
      <c r="FK21" s="26"/>
      <c r="FL21" s="26"/>
      <c r="FM21" s="26"/>
      <c r="FN21" s="26"/>
      <c r="FO21" s="26"/>
      <c r="FP21" s="26"/>
      <c r="FQ21" s="26"/>
      <c r="FR21" s="26"/>
      <c r="FS21" s="26"/>
      <c r="FT21" s="26"/>
      <c r="FU21" s="26"/>
      <c r="FV21" s="26"/>
      <c r="FW21" s="26"/>
      <c r="FX21" s="26"/>
      <c r="FY21" s="26"/>
      <c r="FZ21" s="26"/>
      <c r="GA21" s="26"/>
      <c r="GB21" s="26"/>
      <c r="GC21" s="26"/>
      <c r="GD21" s="26"/>
      <c r="GE21" s="26"/>
      <c r="GF21" s="26"/>
      <c r="GG21" s="26"/>
      <c r="GH21" s="26"/>
      <c r="GI21" s="123"/>
    </row>
    <row r="22" spans="1:191" s="21" customFormat="1" ht="30" customHeight="1" thickBot="1" x14ac:dyDescent="0.2">
      <c r="A22" s="121" t="s">
        <v>58</v>
      </c>
      <c r="B22" s="38" t="s">
        <v>73</v>
      </c>
      <c r="C22" s="38" t="s">
        <v>74</v>
      </c>
      <c r="D22" s="39" t="s">
        <v>75</v>
      </c>
      <c r="E22" s="40">
        <v>1</v>
      </c>
      <c r="F22" s="41">
        <f>F21</f>
        <v>46010</v>
      </c>
      <c r="G22" s="41">
        <f>F22+14</f>
        <v>46024</v>
      </c>
      <c r="H22" s="38" t="s">
        <v>76</v>
      </c>
      <c r="I22" s="3">
        <f t="shared" si="13"/>
        <v>15</v>
      </c>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c r="CC22" s="26"/>
      <c r="CD22" s="26"/>
      <c r="CE22" s="26"/>
      <c r="CF22" s="26"/>
      <c r="CG22" s="26"/>
      <c r="CH22" s="26"/>
      <c r="CI22" s="26"/>
      <c r="CJ22" s="26"/>
      <c r="CK22" s="26"/>
      <c r="CL22" s="26"/>
      <c r="CM22" s="26"/>
      <c r="CN22" s="26"/>
      <c r="CO22" s="26"/>
      <c r="CP22" s="26"/>
      <c r="CQ22" s="26"/>
      <c r="CR22" s="26"/>
      <c r="CS22" s="26"/>
      <c r="CT22" s="26"/>
      <c r="CU22" s="26"/>
      <c r="CV22" s="26"/>
      <c r="CW22" s="26"/>
      <c r="CX22" s="26"/>
      <c r="CY22" s="26"/>
      <c r="CZ22" s="26"/>
      <c r="DA22" s="26"/>
      <c r="DB22" s="26"/>
      <c r="DC22" s="26"/>
      <c r="DD22" s="26"/>
      <c r="DE22" s="26"/>
      <c r="DF22" s="26"/>
      <c r="DG22" s="26"/>
      <c r="DH22" s="26"/>
      <c r="DI22" s="26"/>
      <c r="DJ22" s="26"/>
      <c r="DK22" s="26"/>
      <c r="DL22" s="26"/>
      <c r="DM22" s="26"/>
      <c r="DN22" s="26"/>
      <c r="DO22" s="26"/>
      <c r="DP22" s="26"/>
      <c r="DQ22" s="26"/>
      <c r="DR22" s="26"/>
      <c r="DS22" s="26"/>
      <c r="DT22" s="26"/>
      <c r="DU22" s="26"/>
      <c r="DV22" s="26"/>
      <c r="DW22" s="26"/>
      <c r="DX22" s="26"/>
      <c r="DY22" s="26"/>
      <c r="DZ22" s="26"/>
      <c r="EA22" s="26"/>
      <c r="EB22" s="26"/>
      <c r="EC22" s="26"/>
      <c r="ED22" s="26"/>
      <c r="EE22" s="26"/>
      <c r="EF22" s="26"/>
      <c r="EG22" s="26"/>
      <c r="EH22" s="26"/>
      <c r="EI22" s="26"/>
      <c r="EJ22" s="26"/>
      <c r="EK22" s="26"/>
      <c r="EL22" s="26"/>
      <c r="EM22" s="26"/>
      <c r="EN22" s="26"/>
      <c r="EO22" s="26"/>
      <c r="EP22" s="26"/>
      <c r="EQ22" s="26"/>
      <c r="ER22" s="26"/>
      <c r="ES22" s="26"/>
      <c r="ET22" s="26"/>
      <c r="EU22" s="26"/>
      <c r="EV22" s="26"/>
      <c r="EW22" s="26"/>
      <c r="EX22" s="26"/>
      <c r="EY22" s="26"/>
      <c r="EZ22" s="26"/>
      <c r="FA22" s="26"/>
      <c r="FB22" s="26"/>
      <c r="FC22" s="26"/>
      <c r="FD22" s="26"/>
      <c r="FE22" s="26"/>
      <c r="FF22" s="26"/>
      <c r="FG22" s="26"/>
      <c r="FH22" s="26"/>
      <c r="FI22" s="26"/>
      <c r="FJ22" s="26"/>
      <c r="FK22" s="26"/>
      <c r="FL22" s="26"/>
      <c r="FM22" s="26"/>
      <c r="FN22" s="26"/>
      <c r="FO22" s="26"/>
      <c r="FP22" s="26"/>
      <c r="FQ22" s="26"/>
      <c r="FR22" s="26"/>
      <c r="FS22" s="26"/>
      <c r="FT22" s="26"/>
      <c r="FU22" s="26"/>
      <c r="FV22" s="26"/>
      <c r="FW22" s="26"/>
      <c r="FX22" s="26"/>
      <c r="FY22" s="26"/>
      <c r="FZ22" s="26"/>
      <c r="GA22" s="26"/>
      <c r="GB22" s="26"/>
      <c r="GC22" s="26"/>
      <c r="GD22" s="26"/>
      <c r="GE22" s="26"/>
      <c r="GF22" s="26"/>
      <c r="GG22" s="26"/>
      <c r="GH22" s="26"/>
      <c r="GI22" s="123"/>
    </row>
    <row r="23" spans="1:191" s="21" customFormat="1" ht="30" customHeight="1" thickBot="1" x14ac:dyDescent="0.2">
      <c r="A23" s="121" t="s">
        <v>77</v>
      </c>
      <c r="B23" s="38" t="s">
        <v>78</v>
      </c>
      <c r="C23" s="38" t="s">
        <v>74</v>
      </c>
      <c r="D23" s="39" t="s">
        <v>75</v>
      </c>
      <c r="E23" s="40">
        <v>1</v>
      </c>
      <c r="F23" s="41">
        <f>G21+5</f>
        <v>46045</v>
      </c>
      <c r="G23" s="41">
        <f>F23+10</f>
        <v>46055</v>
      </c>
      <c r="H23" s="38" t="s">
        <v>76</v>
      </c>
      <c r="I23" s="3">
        <f t="shared" si="13"/>
        <v>11</v>
      </c>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26"/>
      <c r="BR23" s="26"/>
      <c r="BS23" s="26"/>
      <c r="BT23" s="26"/>
      <c r="BU23" s="26"/>
      <c r="BV23" s="26"/>
      <c r="BW23" s="26"/>
      <c r="BX23" s="26"/>
      <c r="BY23" s="26"/>
      <c r="BZ23" s="26"/>
      <c r="CA23" s="26"/>
      <c r="CB23" s="26"/>
      <c r="CC23" s="26"/>
      <c r="CD23" s="26"/>
      <c r="CE23" s="26"/>
      <c r="CF23" s="26"/>
      <c r="CG23" s="26"/>
      <c r="CH23" s="26"/>
      <c r="CI23" s="26"/>
      <c r="CJ23" s="26"/>
      <c r="CK23" s="26"/>
      <c r="CL23" s="26"/>
      <c r="CM23" s="26"/>
      <c r="CN23" s="26"/>
      <c r="CO23" s="26"/>
      <c r="CP23" s="26"/>
      <c r="CQ23" s="26"/>
      <c r="CR23" s="26"/>
      <c r="CS23" s="26"/>
      <c r="CT23" s="26"/>
      <c r="CU23" s="26"/>
      <c r="CV23" s="26"/>
      <c r="CW23" s="26"/>
      <c r="CX23" s="26"/>
      <c r="CY23" s="26"/>
      <c r="CZ23" s="26"/>
      <c r="DA23" s="26"/>
      <c r="DB23" s="26"/>
      <c r="DC23" s="26"/>
      <c r="DD23" s="26"/>
      <c r="DE23" s="26"/>
      <c r="DF23" s="26"/>
      <c r="DG23" s="26"/>
      <c r="DH23" s="26"/>
      <c r="DI23" s="26"/>
      <c r="DJ23" s="26"/>
      <c r="DK23" s="26"/>
      <c r="DL23" s="26"/>
      <c r="DM23" s="26"/>
      <c r="DN23" s="26"/>
      <c r="DO23" s="26"/>
      <c r="DP23" s="26"/>
      <c r="DQ23" s="26"/>
      <c r="DR23" s="26"/>
      <c r="DS23" s="26"/>
      <c r="DT23" s="26"/>
      <c r="DU23" s="26"/>
      <c r="DV23" s="26"/>
      <c r="DW23" s="26"/>
      <c r="DX23" s="26"/>
      <c r="DY23" s="26"/>
      <c r="DZ23" s="26"/>
      <c r="EA23" s="26"/>
      <c r="EB23" s="26"/>
      <c r="EC23" s="26"/>
      <c r="ED23" s="26"/>
      <c r="EE23" s="26"/>
      <c r="EF23" s="26"/>
      <c r="EG23" s="26"/>
      <c r="EH23" s="26"/>
      <c r="EI23" s="26"/>
      <c r="EJ23" s="26"/>
      <c r="EK23" s="26"/>
      <c r="EL23" s="26"/>
      <c r="EM23" s="26"/>
      <c r="EN23" s="26"/>
      <c r="EO23" s="26"/>
      <c r="EP23" s="26"/>
      <c r="EQ23" s="26"/>
      <c r="ER23" s="26"/>
      <c r="ES23" s="26"/>
      <c r="ET23" s="26"/>
      <c r="EU23" s="26"/>
      <c r="EV23" s="26"/>
      <c r="EW23" s="26"/>
      <c r="EX23" s="26"/>
      <c r="EY23" s="26"/>
      <c r="EZ23" s="26"/>
      <c r="FA23" s="26"/>
      <c r="FB23" s="26"/>
      <c r="FC23" s="26"/>
      <c r="FD23" s="26"/>
      <c r="FE23" s="26"/>
      <c r="FF23" s="26"/>
      <c r="FG23" s="26"/>
      <c r="FH23" s="26"/>
      <c r="FI23" s="26"/>
      <c r="FJ23" s="26"/>
      <c r="FK23" s="26"/>
      <c r="FL23" s="26"/>
      <c r="FM23" s="26"/>
      <c r="FN23" s="26"/>
      <c r="FO23" s="26"/>
      <c r="FP23" s="26"/>
      <c r="FQ23" s="26"/>
      <c r="FR23" s="26"/>
      <c r="FS23" s="26"/>
      <c r="FT23" s="26"/>
      <c r="FU23" s="26"/>
      <c r="FV23" s="26"/>
      <c r="FW23" s="26"/>
      <c r="FX23" s="26"/>
      <c r="FY23" s="26"/>
      <c r="FZ23" s="26"/>
      <c r="GA23" s="26"/>
      <c r="GB23" s="26"/>
      <c r="GC23" s="26"/>
      <c r="GD23" s="26"/>
      <c r="GE23" s="26"/>
      <c r="GF23" s="26"/>
      <c r="GG23" s="26"/>
      <c r="GH23" s="26"/>
      <c r="GI23" s="123"/>
    </row>
    <row r="24" spans="1:191" s="21" customFormat="1" ht="30" customHeight="1" thickBot="1" x14ac:dyDescent="0.2">
      <c r="A24" s="121" t="s">
        <v>79</v>
      </c>
      <c r="B24" s="38" t="s">
        <v>80</v>
      </c>
      <c r="C24" s="38" t="s">
        <v>81</v>
      </c>
      <c r="D24" s="39" t="s">
        <v>56</v>
      </c>
      <c r="E24" s="40">
        <v>1</v>
      </c>
      <c r="F24" s="41">
        <f>G23-5</f>
        <v>46050</v>
      </c>
      <c r="G24" s="41">
        <f>F24+20</f>
        <v>46070</v>
      </c>
      <c r="H24" s="38" t="s">
        <v>82</v>
      </c>
      <c r="I24" s="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26"/>
      <c r="BR24" s="26"/>
      <c r="BS24" s="26"/>
      <c r="BT24" s="26"/>
      <c r="BU24" s="26"/>
      <c r="BV24" s="26"/>
      <c r="BW24" s="26"/>
      <c r="BX24" s="26"/>
      <c r="BY24" s="26"/>
      <c r="BZ24" s="26"/>
      <c r="CA24" s="26"/>
      <c r="CB24" s="26"/>
      <c r="CC24" s="26"/>
      <c r="CD24" s="26"/>
      <c r="CE24" s="26"/>
      <c r="CF24" s="26"/>
      <c r="CG24" s="26"/>
      <c r="CH24" s="26"/>
      <c r="CI24" s="26"/>
      <c r="CJ24" s="26"/>
      <c r="CK24" s="26"/>
      <c r="CL24" s="26"/>
      <c r="CM24" s="26"/>
      <c r="CN24" s="26"/>
      <c r="CO24" s="26"/>
      <c r="CP24" s="26"/>
      <c r="CQ24" s="26"/>
      <c r="CR24" s="26"/>
      <c r="CS24" s="26"/>
      <c r="CT24" s="26"/>
      <c r="CU24" s="26"/>
      <c r="CV24" s="26"/>
      <c r="CW24" s="26"/>
      <c r="CX24" s="26"/>
      <c r="CY24" s="26"/>
      <c r="CZ24" s="26"/>
      <c r="DA24" s="26"/>
      <c r="DB24" s="26"/>
      <c r="DC24" s="26"/>
      <c r="DD24" s="26"/>
      <c r="DE24" s="26"/>
      <c r="DF24" s="26"/>
      <c r="DG24" s="26"/>
      <c r="DH24" s="26"/>
      <c r="DI24" s="26"/>
      <c r="DJ24" s="26"/>
      <c r="DK24" s="26"/>
      <c r="DL24" s="26"/>
      <c r="DM24" s="26"/>
      <c r="DN24" s="26"/>
      <c r="DO24" s="26"/>
      <c r="DP24" s="26"/>
      <c r="DQ24" s="26"/>
      <c r="DR24" s="26"/>
      <c r="DS24" s="26"/>
      <c r="DT24" s="26"/>
      <c r="DU24" s="26"/>
      <c r="DV24" s="26"/>
      <c r="DW24" s="26"/>
      <c r="DX24" s="26"/>
      <c r="DY24" s="26"/>
      <c r="DZ24" s="26"/>
      <c r="EA24" s="59"/>
      <c r="EB24" s="59"/>
      <c r="EC24" s="59"/>
      <c r="ED24" s="59"/>
      <c r="EE24" s="59"/>
      <c r="EF24" s="59"/>
      <c r="EG24" s="59"/>
      <c r="EH24" s="59"/>
      <c r="EI24" s="59"/>
      <c r="EJ24" s="59"/>
      <c r="EK24" s="59"/>
      <c r="EL24" s="59"/>
      <c r="EM24" s="59"/>
      <c r="EN24" s="59"/>
      <c r="EO24" s="59"/>
      <c r="EP24" s="59"/>
      <c r="EQ24" s="59"/>
      <c r="ER24" s="59"/>
      <c r="ES24" s="59"/>
      <c r="ET24" s="59"/>
      <c r="EU24" s="59"/>
      <c r="EV24" s="26"/>
      <c r="EW24" s="26"/>
      <c r="EX24" s="26"/>
      <c r="EY24" s="26"/>
      <c r="EZ24" s="26"/>
      <c r="FA24" s="26"/>
      <c r="FB24" s="26"/>
      <c r="FC24" s="26"/>
      <c r="FD24" s="26"/>
      <c r="FE24" s="26"/>
      <c r="FF24" s="26"/>
      <c r="FG24" s="26"/>
      <c r="FH24" s="26"/>
      <c r="FI24" s="26"/>
      <c r="FJ24" s="26"/>
      <c r="FK24" s="26"/>
      <c r="FL24" s="26"/>
      <c r="FM24" s="26"/>
      <c r="FN24" s="26"/>
      <c r="FO24" s="26"/>
      <c r="FP24" s="26"/>
      <c r="FQ24" s="26"/>
      <c r="FR24" s="26"/>
      <c r="FS24" s="26"/>
      <c r="FT24" s="26"/>
      <c r="FU24" s="26"/>
      <c r="FV24" s="26"/>
      <c r="FW24" s="26"/>
      <c r="FX24" s="26"/>
      <c r="FY24" s="26"/>
      <c r="FZ24" s="26"/>
      <c r="GA24" s="26"/>
      <c r="GB24" s="26"/>
      <c r="GC24" s="26"/>
      <c r="GD24" s="26"/>
      <c r="GE24" s="26"/>
      <c r="GF24" s="26"/>
      <c r="GG24" s="26"/>
      <c r="GH24" s="26"/>
      <c r="GI24" s="123"/>
    </row>
    <row r="25" spans="1:191" s="21" customFormat="1" ht="30" customHeight="1" thickBot="1" x14ac:dyDescent="0.2">
      <c r="A25" s="121" t="s">
        <v>83</v>
      </c>
      <c r="B25" s="38" t="s">
        <v>84</v>
      </c>
      <c r="C25" s="38" t="s">
        <v>85</v>
      </c>
      <c r="D25" s="39" t="s">
        <v>86</v>
      </c>
      <c r="E25" s="40">
        <v>1</v>
      </c>
      <c r="F25" s="41">
        <f>F22</f>
        <v>46010</v>
      </c>
      <c r="G25" s="41">
        <f>F25+20</f>
        <v>46030</v>
      </c>
      <c r="H25" s="38" t="s">
        <v>87</v>
      </c>
      <c r="I25" s="3">
        <f>IF(OR(ISBLANK(task_start),ISBLANK(task_end)),"",task_end-task_start+1)</f>
        <v>21</v>
      </c>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c r="CC25" s="26"/>
      <c r="CD25" s="26"/>
      <c r="CE25" s="26"/>
      <c r="CF25" s="26"/>
      <c r="CG25" s="26"/>
      <c r="CH25" s="26"/>
      <c r="CI25" s="26"/>
      <c r="CJ25" s="26"/>
      <c r="CK25" s="26"/>
      <c r="CL25" s="26"/>
      <c r="CM25" s="26"/>
      <c r="CN25" s="26"/>
      <c r="CO25" s="26"/>
      <c r="CP25" s="26"/>
      <c r="CQ25" s="26"/>
      <c r="CR25" s="26"/>
      <c r="CS25" s="26"/>
      <c r="CT25" s="26"/>
      <c r="CU25" s="26"/>
      <c r="CV25" s="26"/>
      <c r="CW25" s="26"/>
      <c r="CX25" s="26"/>
      <c r="CY25" s="26"/>
      <c r="CZ25" s="26"/>
      <c r="DA25" s="26"/>
      <c r="DB25" s="26"/>
      <c r="DC25" s="26"/>
      <c r="DD25" s="26"/>
      <c r="DE25" s="26"/>
      <c r="DF25" s="26"/>
      <c r="DG25" s="26"/>
      <c r="DH25" s="26"/>
      <c r="DI25" s="26"/>
      <c r="DJ25" s="26"/>
      <c r="DK25" s="26"/>
      <c r="DL25" s="26"/>
      <c r="DM25" s="26"/>
      <c r="DN25" s="26"/>
      <c r="DO25" s="26"/>
      <c r="DP25" s="26"/>
      <c r="DQ25" s="26"/>
      <c r="DR25" s="26"/>
      <c r="DS25" s="26"/>
      <c r="DT25" s="26"/>
      <c r="DU25" s="26"/>
      <c r="DV25" s="26"/>
      <c r="DW25" s="26"/>
      <c r="DX25" s="26"/>
      <c r="DY25" s="26"/>
      <c r="DZ25" s="26"/>
      <c r="EA25" s="26"/>
      <c r="EB25" s="26"/>
      <c r="EC25" s="26"/>
      <c r="ED25" s="26"/>
      <c r="EE25" s="26"/>
      <c r="EF25" s="26"/>
      <c r="EG25" s="26"/>
      <c r="EH25" s="26"/>
      <c r="EI25" s="26"/>
      <c r="EJ25" s="26"/>
      <c r="EK25" s="26"/>
      <c r="EL25" s="26"/>
      <c r="EM25" s="26"/>
      <c r="EN25" s="26"/>
      <c r="EO25" s="26"/>
      <c r="EP25" s="26"/>
      <c r="EQ25" s="26"/>
      <c r="ER25" s="26"/>
      <c r="ES25" s="26"/>
      <c r="ET25" s="26"/>
      <c r="EU25" s="26"/>
      <c r="EV25" s="26"/>
      <c r="EW25" s="26"/>
      <c r="EX25" s="26"/>
      <c r="EY25" s="26"/>
      <c r="EZ25" s="26"/>
      <c r="FA25" s="26"/>
      <c r="FB25" s="26"/>
      <c r="FC25" s="26"/>
      <c r="FD25" s="26"/>
      <c r="FE25" s="26"/>
      <c r="FF25" s="26"/>
      <c r="FG25" s="26"/>
      <c r="FH25" s="26"/>
      <c r="FI25" s="26"/>
      <c r="FJ25" s="26"/>
      <c r="FK25" s="26"/>
      <c r="FL25" s="26"/>
      <c r="FM25" s="26"/>
      <c r="FN25" s="26"/>
      <c r="FO25" s="26"/>
      <c r="FP25" s="26"/>
      <c r="FQ25" s="26"/>
      <c r="FR25" s="26"/>
      <c r="FS25" s="26"/>
      <c r="FT25" s="26"/>
      <c r="FU25" s="26"/>
      <c r="FV25" s="26"/>
      <c r="FW25" s="26"/>
      <c r="FX25" s="26"/>
      <c r="FY25" s="26"/>
      <c r="FZ25" s="26"/>
      <c r="GA25" s="26"/>
      <c r="GB25" s="26"/>
      <c r="GC25" s="26"/>
      <c r="GD25" s="26"/>
      <c r="GE25" s="26"/>
      <c r="GF25" s="26"/>
      <c r="GG25" s="26"/>
      <c r="GH25" s="26"/>
      <c r="GI25" s="123"/>
    </row>
    <row r="26" spans="1:191" s="21" customFormat="1" ht="30" customHeight="1" thickBot="1" x14ac:dyDescent="0.2">
      <c r="A26" s="121" t="s">
        <v>88</v>
      </c>
      <c r="B26" s="56" t="s">
        <v>89</v>
      </c>
      <c r="C26" s="56" t="s">
        <v>85</v>
      </c>
      <c r="D26" s="57" t="s">
        <v>86</v>
      </c>
      <c r="E26" s="40">
        <v>1</v>
      </c>
      <c r="F26" s="58">
        <f>F22</f>
        <v>46010</v>
      </c>
      <c r="G26" s="58">
        <f>F22+7</f>
        <v>46017</v>
      </c>
      <c r="H26" s="56" t="s">
        <v>90</v>
      </c>
      <c r="I26" s="3"/>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c r="BU26" s="26"/>
      <c r="BV26" s="26"/>
      <c r="BW26" s="26"/>
      <c r="BX26" s="26"/>
      <c r="BY26" s="26"/>
      <c r="BZ26" s="26"/>
      <c r="CA26" s="26"/>
      <c r="CB26" s="26"/>
      <c r="CC26" s="26"/>
      <c r="CD26" s="26"/>
      <c r="CE26" s="26"/>
      <c r="CF26" s="26"/>
      <c r="CG26" s="26"/>
      <c r="CH26" s="26"/>
      <c r="CI26" s="26"/>
      <c r="CJ26" s="26"/>
      <c r="CK26" s="26"/>
      <c r="CL26" s="26"/>
      <c r="CM26" s="26"/>
      <c r="CN26" s="26"/>
      <c r="CO26" s="26"/>
      <c r="CP26" s="26"/>
      <c r="CQ26" s="26"/>
      <c r="CR26" s="26"/>
      <c r="CS26" s="26"/>
      <c r="CT26" s="26"/>
      <c r="CU26" s="26"/>
      <c r="CV26" s="26"/>
      <c r="CW26" s="26"/>
      <c r="CX26" s="26"/>
      <c r="CY26" s="26"/>
      <c r="CZ26" s="26"/>
      <c r="DA26" s="26"/>
      <c r="DB26" s="26"/>
      <c r="DC26" s="26"/>
      <c r="DD26" s="26"/>
      <c r="DE26" s="26"/>
      <c r="DF26" s="26"/>
      <c r="DG26" s="26"/>
      <c r="DH26" s="26"/>
      <c r="DI26" s="26"/>
      <c r="DJ26" s="26"/>
      <c r="DK26" s="26"/>
      <c r="DL26" s="26"/>
      <c r="DM26" s="26"/>
      <c r="DN26" s="26"/>
      <c r="DO26" s="26"/>
      <c r="DP26" s="26"/>
      <c r="DQ26" s="26"/>
      <c r="DR26" s="26"/>
      <c r="DS26" s="26"/>
      <c r="DT26" s="26"/>
      <c r="DU26" s="26"/>
      <c r="DV26" s="26"/>
      <c r="DW26" s="26"/>
      <c r="DX26" s="26"/>
      <c r="DY26" s="26"/>
      <c r="DZ26" s="26"/>
      <c r="EA26" s="26"/>
      <c r="EB26" s="26"/>
      <c r="EC26" s="26"/>
      <c r="ED26" s="26"/>
      <c r="EE26" s="26"/>
      <c r="EF26" s="26"/>
      <c r="EG26" s="26"/>
      <c r="EH26" s="26"/>
      <c r="EI26" s="26"/>
      <c r="EJ26" s="26"/>
      <c r="EK26" s="26"/>
      <c r="EL26" s="26"/>
      <c r="EM26" s="26"/>
      <c r="EN26" s="26"/>
      <c r="EO26" s="26"/>
      <c r="EP26" s="26"/>
      <c r="EQ26" s="26"/>
      <c r="ER26" s="26"/>
      <c r="ES26" s="26"/>
      <c r="ET26" s="26"/>
      <c r="EU26" s="26"/>
      <c r="EV26" s="26"/>
      <c r="EW26" s="26"/>
      <c r="EX26" s="26"/>
      <c r="EY26" s="26"/>
      <c r="EZ26" s="26"/>
      <c r="FA26" s="26"/>
      <c r="FB26" s="26"/>
      <c r="FC26" s="26"/>
      <c r="FD26" s="26"/>
      <c r="FE26" s="26"/>
      <c r="FF26" s="26"/>
      <c r="FG26" s="26"/>
      <c r="FH26" s="26"/>
      <c r="FI26" s="26"/>
      <c r="FJ26" s="26"/>
      <c r="FK26" s="26"/>
      <c r="FL26" s="26"/>
      <c r="FM26" s="26"/>
      <c r="FN26" s="26"/>
      <c r="FO26" s="26"/>
      <c r="FP26" s="26"/>
      <c r="FQ26" s="26"/>
      <c r="FR26" s="26"/>
      <c r="FS26" s="26"/>
      <c r="FT26" s="26"/>
      <c r="FU26" s="26"/>
      <c r="FV26" s="26"/>
      <c r="FW26" s="26"/>
      <c r="FX26" s="26"/>
      <c r="FY26" s="26"/>
      <c r="FZ26" s="26"/>
      <c r="GA26" s="26"/>
      <c r="GB26" s="26"/>
      <c r="GC26" s="26"/>
      <c r="GD26" s="26"/>
      <c r="GE26" s="26"/>
      <c r="GF26" s="26"/>
      <c r="GG26" s="26"/>
      <c r="GH26" s="26"/>
      <c r="GI26" s="123"/>
    </row>
    <row r="27" spans="1:191" s="21" customFormat="1" ht="30" customHeight="1" thickBot="1" x14ac:dyDescent="0.2">
      <c r="A27" s="121" t="s">
        <v>91</v>
      </c>
      <c r="B27" s="56" t="s">
        <v>92</v>
      </c>
      <c r="C27" s="56" t="s">
        <v>93</v>
      </c>
      <c r="D27" s="57" t="s">
        <v>94</v>
      </c>
      <c r="E27" s="40">
        <v>1</v>
      </c>
      <c r="F27" s="58">
        <f>F22+5</f>
        <v>46015</v>
      </c>
      <c r="G27" s="58">
        <f>F27+15</f>
        <v>46030</v>
      </c>
      <c r="H27" s="56" t="s">
        <v>95</v>
      </c>
      <c r="I27" s="3"/>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c r="BU27" s="26"/>
      <c r="BV27" s="26"/>
      <c r="BW27" s="26"/>
      <c r="BX27" s="26"/>
      <c r="BY27" s="26"/>
      <c r="BZ27" s="26"/>
      <c r="CA27" s="26"/>
      <c r="CB27" s="26"/>
      <c r="CC27" s="26"/>
      <c r="CD27" s="26"/>
      <c r="CE27" s="26"/>
      <c r="CF27" s="26"/>
      <c r="CG27" s="26"/>
      <c r="CH27" s="26"/>
      <c r="CI27" s="26"/>
      <c r="CJ27" s="26"/>
      <c r="CK27" s="26"/>
      <c r="CL27" s="26"/>
      <c r="CM27" s="26"/>
      <c r="CN27" s="26"/>
      <c r="CO27" s="26"/>
      <c r="CP27" s="26"/>
      <c r="CQ27" s="26"/>
      <c r="CR27" s="26"/>
      <c r="CS27" s="26"/>
      <c r="CT27" s="26"/>
      <c r="CU27" s="26"/>
      <c r="CV27" s="26"/>
      <c r="CW27" s="26"/>
      <c r="CX27" s="26"/>
      <c r="CY27" s="26"/>
      <c r="CZ27" s="26"/>
      <c r="DA27" s="26"/>
      <c r="DB27" s="26"/>
      <c r="DC27" s="26"/>
      <c r="DD27" s="26"/>
      <c r="DE27" s="26"/>
      <c r="DF27" s="26"/>
      <c r="DG27" s="26"/>
      <c r="DH27" s="26"/>
      <c r="DI27" s="26"/>
      <c r="DJ27" s="26"/>
      <c r="DK27" s="26"/>
      <c r="DL27" s="26"/>
      <c r="DM27" s="26"/>
      <c r="DN27" s="26"/>
      <c r="DO27" s="26"/>
      <c r="DP27" s="26"/>
      <c r="DQ27" s="26"/>
      <c r="DR27" s="26"/>
      <c r="DS27" s="26"/>
      <c r="DT27" s="26"/>
      <c r="DU27" s="26"/>
      <c r="DV27" s="26"/>
      <c r="DW27" s="26"/>
      <c r="DX27" s="26"/>
      <c r="DY27" s="26"/>
      <c r="DZ27" s="26"/>
      <c r="EA27" s="26"/>
      <c r="EB27" s="26"/>
      <c r="EC27" s="26"/>
      <c r="ED27" s="26"/>
      <c r="EE27" s="26"/>
      <c r="EF27" s="26"/>
      <c r="EG27" s="26"/>
      <c r="EH27" s="26"/>
      <c r="EI27" s="26"/>
      <c r="EJ27" s="26"/>
      <c r="EK27" s="26"/>
      <c r="EL27" s="26"/>
      <c r="EM27" s="26"/>
      <c r="EN27" s="26"/>
      <c r="EO27" s="26"/>
      <c r="EP27" s="26"/>
      <c r="EQ27" s="26"/>
      <c r="ER27" s="26"/>
      <c r="ES27" s="26"/>
      <c r="ET27" s="26"/>
      <c r="EU27" s="26"/>
      <c r="EV27" s="26"/>
      <c r="EW27" s="26"/>
      <c r="EX27" s="26"/>
      <c r="EY27" s="26"/>
      <c r="EZ27" s="26"/>
      <c r="FA27" s="26"/>
      <c r="FB27" s="26"/>
      <c r="FC27" s="26"/>
      <c r="FD27" s="26"/>
      <c r="FE27" s="26"/>
      <c r="FF27" s="26"/>
      <c r="FG27" s="26"/>
      <c r="FH27" s="26"/>
      <c r="FI27" s="26"/>
      <c r="FJ27" s="26"/>
      <c r="FK27" s="26"/>
      <c r="FL27" s="26"/>
      <c r="FM27" s="26"/>
      <c r="FN27" s="26"/>
      <c r="FO27" s="26"/>
      <c r="FP27" s="26"/>
      <c r="FQ27" s="26"/>
      <c r="FR27" s="26"/>
      <c r="FS27" s="26"/>
      <c r="FT27" s="26"/>
      <c r="FU27" s="26"/>
      <c r="FV27" s="26"/>
      <c r="FW27" s="26"/>
      <c r="FX27" s="26"/>
      <c r="FY27" s="26"/>
      <c r="FZ27" s="26"/>
      <c r="GA27" s="26"/>
      <c r="GB27" s="26"/>
      <c r="GC27" s="26"/>
      <c r="GD27" s="26"/>
      <c r="GE27" s="26"/>
      <c r="GF27" s="26"/>
      <c r="GG27" s="26"/>
      <c r="GH27" s="26"/>
      <c r="GI27" s="123"/>
    </row>
    <row r="28" spans="1:191" s="21" customFormat="1" ht="30" customHeight="1" thickBot="1" x14ac:dyDescent="0.2">
      <c r="A28" s="121" t="s">
        <v>96</v>
      </c>
      <c r="B28" s="56" t="s">
        <v>97</v>
      </c>
      <c r="C28" s="56" t="s">
        <v>93</v>
      </c>
      <c r="D28" s="57" t="s">
        <v>94</v>
      </c>
      <c r="E28" s="40">
        <v>1</v>
      </c>
      <c r="F28" s="58">
        <f>F22+9</f>
        <v>46019</v>
      </c>
      <c r="G28" s="58">
        <f>F28+9</f>
        <v>46028</v>
      </c>
      <c r="H28" s="56" t="s">
        <v>98</v>
      </c>
      <c r="I28" s="3"/>
      <c r="J28" s="26"/>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c r="BU28" s="26"/>
      <c r="BV28" s="26"/>
      <c r="BW28" s="26"/>
      <c r="BX28" s="26"/>
      <c r="BY28" s="26"/>
      <c r="BZ28" s="26"/>
      <c r="CA28" s="26"/>
      <c r="CB28" s="26"/>
      <c r="CC28" s="26"/>
      <c r="CD28" s="26"/>
      <c r="CE28" s="26"/>
      <c r="CF28" s="26"/>
      <c r="CG28" s="26"/>
      <c r="CH28" s="26"/>
      <c r="CI28" s="26"/>
      <c r="CJ28" s="26"/>
      <c r="CK28" s="26"/>
      <c r="CL28" s="26"/>
      <c r="CM28" s="26"/>
      <c r="CN28" s="26"/>
      <c r="CO28" s="26"/>
      <c r="CP28" s="26"/>
      <c r="CQ28" s="26"/>
      <c r="CR28" s="26"/>
      <c r="CS28" s="26"/>
      <c r="CT28" s="26"/>
      <c r="CU28" s="26"/>
      <c r="CV28" s="26"/>
      <c r="CW28" s="26"/>
      <c r="CX28" s="26"/>
      <c r="CY28" s="26"/>
      <c r="CZ28" s="26"/>
      <c r="DA28" s="26"/>
      <c r="DB28" s="26"/>
      <c r="DC28" s="26"/>
      <c r="DD28" s="26"/>
      <c r="DE28" s="26"/>
      <c r="DF28" s="26"/>
      <c r="DG28" s="26"/>
      <c r="DH28" s="26"/>
      <c r="DI28" s="26"/>
      <c r="DJ28" s="26"/>
      <c r="DK28" s="26"/>
      <c r="DL28" s="26"/>
      <c r="DM28" s="26"/>
      <c r="DN28" s="26"/>
      <c r="DO28" s="26"/>
      <c r="DP28" s="26"/>
      <c r="DQ28" s="26"/>
      <c r="DR28" s="26"/>
      <c r="DS28" s="26"/>
      <c r="DT28" s="26"/>
      <c r="DU28" s="26"/>
      <c r="DV28" s="26"/>
      <c r="DW28" s="26"/>
      <c r="DX28" s="26"/>
      <c r="DY28" s="26"/>
      <c r="DZ28" s="26"/>
      <c r="EA28" s="26"/>
      <c r="EB28" s="26"/>
      <c r="EC28" s="26"/>
      <c r="ED28" s="26"/>
      <c r="EE28" s="26"/>
      <c r="EF28" s="26"/>
      <c r="EG28" s="26"/>
      <c r="EH28" s="26"/>
      <c r="EI28" s="26"/>
      <c r="EJ28" s="26"/>
      <c r="EK28" s="26"/>
      <c r="EL28" s="26"/>
      <c r="EM28" s="26"/>
      <c r="EN28" s="26"/>
      <c r="EO28" s="26"/>
      <c r="EP28" s="26"/>
      <c r="EQ28" s="26"/>
      <c r="ER28" s="26"/>
      <c r="ES28" s="26"/>
      <c r="ET28" s="26"/>
      <c r="EU28" s="26"/>
      <c r="EV28" s="26"/>
      <c r="EW28" s="26"/>
      <c r="EX28" s="26"/>
      <c r="EY28" s="26"/>
      <c r="EZ28" s="26"/>
      <c r="FA28" s="26"/>
      <c r="FB28" s="26"/>
      <c r="FC28" s="26"/>
      <c r="FD28" s="26"/>
      <c r="FE28" s="26"/>
      <c r="FF28" s="26"/>
      <c r="FG28" s="26"/>
      <c r="FH28" s="26"/>
      <c r="FI28" s="26"/>
      <c r="FJ28" s="26"/>
      <c r="FK28" s="26"/>
      <c r="FL28" s="26"/>
      <c r="FM28" s="26"/>
      <c r="FN28" s="26"/>
      <c r="FO28" s="26"/>
      <c r="FP28" s="26"/>
      <c r="FQ28" s="26"/>
      <c r="FR28" s="26"/>
      <c r="FS28" s="26"/>
      <c r="FT28" s="26"/>
      <c r="FU28" s="26"/>
      <c r="FV28" s="26"/>
      <c r="FW28" s="26"/>
      <c r="FX28" s="26"/>
      <c r="FY28" s="26"/>
      <c r="FZ28" s="26"/>
      <c r="GA28" s="26"/>
      <c r="GB28" s="26"/>
      <c r="GC28" s="26"/>
      <c r="GD28" s="26"/>
      <c r="GE28" s="26"/>
      <c r="GF28" s="26"/>
      <c r="GG28" s="26"/>
      <c r="GH28" s="26"/>
      <c r="GI28" s="123"/>
    </row>
    <row r="29" spans="1:191" s="21" customFormat="1" ht="30" customHeight="1" thickBot="1" x14ac:dyDescent="0.2">
      <c r="A29" s="121" t="s">
        <v>99</v>
      </c>
      <c r="B29" s="56" t="s">
        <v>100</v>
      </c>
      <c r="C29" s="56" t="s">
        <v>101</v>
      </c>
      <c r="D29" s="57" t="s">
        <v>102</v>
      </c>
      <c r="E29" s="40">
        <v>1</v>
      </c>
      <c r="F29" s="58">
        <f>G28-4</f>
        <v>46024</v>
      </c>
      <c r="G29" s="58">
        <f>F29+16</f>
        <v>46040</v>
      </c>
      <c r="H29" s="56" t="s">
        <v>103</v>
      </c>
      <c r="I29" s="3"/>
      <c r="J29" s="26"/>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c r="BU29" s="26"/>
      <c r="BV29" s="26"/>
      <c r="BW29" s="26"/>
      <c r="BX29" s="26"/>
      <c r="BY29" s="26"/>
      <c r="BZ29" s="26"/>
      <c r="CA29" s="26"/>
      <c r="CB29" s="26"/>
      <c r="CC29" s="26"/>
      <c r="CD29" s="26"/>
      <c r="CE29" s="26"/>
      <c r="CF29" s="26"/>
      <c r="CG29" s="26"/>
      <c r="CH29" s="26"/>
      <c r="CI29" s="26"/>
      <c r="CJ29" s="26"/>
      <c r="CK29" s="26"/>
      <c r="CL29" s="26"/>
      <c r="CM29" s="26"/>
      <c r="CN29" s="26"/>
      <c r="CO29" s="26"/>
      <c r="CP29" s="26"/>
      <c r="CQ29" s="26"/>
      <c r="CR29" s="26"/>
      <c r="CS29" s="26"/>
      <c r="CT29" s="26"/>
      <c r="CU29" s="26"/>
      <c r="CV29" s="26"/>
      <c r="CW29" s="26"/>
      <c r="CX29" s="26"/>
      <c r="CY29" s="26"/>
      <c r="CZ29" s="26"/>
      <c r="DA29" s="26"/>
      <c r="DB29" s="26"/>
      <c r="DC29" s="26"/>
      <c r="DD29" s="26"/>
      <c r="DE29" s="26"/>
      <c r="DF29" s="26"/>
      <c r="DG29" s="26"/>
      <c r="DH29" s="26"/>
      <c r="DI29" s="26"/>
      <c r="DJ29" s="26"/>
      <c r="DK29" s="26"/>
      <c r="DL29" s="26"/>
      <c r="DM29" s="26"/>
      <c r="DN29" s="26"/>
      <c r="DO29" s="26"/>
      <c r="DP29" s="26"/>
      <c r="DQ29" s="26"/>
      <c r="DR29" s="26"/>
      <c r="DS29" s="26"/>
      <c r="DT29" s="26"/>
      <c r="DU29" s="26"/>
      <c r="DV29" s="26"/>
      <c r="DW29" s="26"/>
      <c r="DX29" s="26"/>
      <c r="DY29" s="26"/>
      <c r="DZ29" s="26"/>
      <c r="EA29" s="26"/>
      <c r="EB29" s="26"/>
      <c r="EC29" s="26"/>
      <c r="ED29" s="26"/>
      <c r="EE29" s="26"/>
      <c r="EF29" s="26"/>
      <c r="EG29" s="26"/>
      <c r="EH29" s="26"/>
      <c r="EI29" s="26"/>
      <c r="EJ29" s="26"/>
      <c r="EK29" s="26"/>
      <c r="EL29" s="26"/>
      <c r="EM29" s="26"/>
      <c r="EN29" s="26"/>
      <c r="EO29" s="26"/>
      <c r="EP29" s="26"/>
      <c r="EQ29" s="26"/>
      <c r="ER29" s="26"/>
      <c r="ES29" s="26"/>
      <c r="ET29" s="26"/>
      <c r="EU29" s="26"/>
      <c r="EV29" s="26"/>
      <c r="EW29" s="26"/>
      <c r="EX29" s="26"/>
      <c r="EY29" s="26"/>
      <c r="EZ29" s="26"/>
      <c r="FA29" s="26"/>
      <c r="FB29" s="26"/>
      <c r="FC29" s="26"/>
      <c r="FD29" s="26"/>
      <c r="FE29" s="26"/>
      <c r="FF29" s="26"/>
      <c r="FG29" s="26"/>
      <c r="FH29" s="26"/>
      <c r="FI29" s="26"/>
      <c r="FJ29" s="26"/>
      <c r="FK29" s="26"/>
      <c r="FL29" s="26"/>
      <c r="FM29" s="26"/>
      <c r="FN29" s="26"/>
      <c r="FO29" s="26"/>
      <c r="FP29" s="26"/>
      <c r="FQ29" s="26"/>
      <c r="FR29" s="26"/>
      <c r="FS29" s="26"/>
      <c r="FT29" s="26"/>
      <c r="FU29" s="26"/>
      <c r="FV29" s="26"/>
      <c r="FW29" s="26"/>
      <c r="FX29" s="26"/>
      <c r="FY29" s="26"/>
      <c r="FZ29" s="26"/>
      <c r="GA29" s="26"/>
      <c r="GB29" s="26"/>
      <c r="GC29" s="26"/>
      <c r="GD29" s="26"/>
      <c r="GE29" s="26"/>
      <c r="GF29" s="26"/>
      <c r="GG29" s="26"/>
      <c r="GH29" s="26"/>
      <c r="GI29" s="123"/>
    </row>
    <row r="30" spans="1:191" s="21" customFormat="1" ht="30" customHeight="1" thickBot="1" x14ac:dyDescent="0.2">
      <c r="A30" s="121" t="s">
        <v>104</v>
      </c>
      <c r="B30" s="56" t="s">
        <v>105</v>
      </c>
      <c r="C30" s="56" t="s">
        <v>85</v>
      </c>
      <c r="D30" s="57" t="s">
        <v>68</v>
      </c>
      <c r="E30" s="40">
        <v>1</v>
      </c>
      <c r="F30" s="58">
        <f>G29</f>
        <v>46040</v>
      </c>
      <c r="G30" s="58">
        <f>F30+10</f>
        <v>46050</v>
      </c>
      <c r="H30" s="56" t="s">
        <v>106</v>
      </c>
      <c r="I30" s="3"/>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c r="BU30" s="26"/>
      <c r="BV30" s="26"/>
      <c r="BW30" s="26"/>
      <c r="BX30" s="26"/>
      <c r="BY30" s="26"/>
      <c r="BZ30" s="26"/>
      <c r="CA30" s="26"/>
      <c r="CB30" s="26"/>
      <c r="CC30" s="26"/>
      <c r="CD30" s="26"/>
      <c r="CE30" s="26"/>
      <c r="CF30" s="26"/>
      <c r="CG30" s="26"/>
      <c r="CH30" s="26"/>
      <c r="CI30" s="26"/>
      <c r="CJ30" s="26"/>
      <c r="CK30" s="26"/>
      <c r="CL30" s="26"/>
      <c r="CM30" s="26"/>
      <c r="CN30" s="26"/>
      <c r="CO30" s="26"/>
      <c r="CP30" s="26"/>
      <c r="CQ30" s="26"/>
      <c r="CR30" s="26"/>
      <c r="CS30" s="26"/>
      <c r="CT30" s="26"/>
      <c r="CU30" s="26"/>
      <c r="CV30" s="26"/>
      <c r="CW30" s="26"/>
      <c r="CX30" s="26"/>
      <c r="CY30" s="26"/>
      <c r="CZ30" s="26"/>
      <c r="DA30" s="26"/>
      <c r="DB30" s="26"/>
      <c r="DC30" s="26"/>
      <c r="DD30" s="26"/>
      <c r="DE30" s="26"/>
      <c r="DF30" s="26"/>
      <c r="DG30" s="26"/>
      <c r="DH30" s="26"/>
      <c r="DI30" s="26"/>
      <c r="DJ30" s="26"/>
      <c r="DK30" s="26"/>
      <c r="DL30" s="26"/>
      <c r="DM30" s="26"/>
      <c r="DN30" s="26"/>
      <c r="DO30" s="26"/>
      <c r="DP30" s="26"/>
      <c r="DQ30" s="26"/>
      <c r="DR30" s="26"/>
      <c r="DS30" s="26"/>
      <c r="DT30" s="26"/>
      <c r="DU30" s="26"/>
      <c r="DV30" s="26"/>
      <c r="DW30" s="26"/>
      <c r="DX30" s="26"/>
      <c r="DY30" s="26"/>
      <c r="DZ30" s="26"/>
      <c r="EA30" s="26"/>
      <c r="EB30" s="26"/>
      <c r="EC30" s="26"/>
      <c r="ED30" s="26"/>
      <c r="EE30" s="26"/>
      <c r="EF30" s="26"/>
      <c r="EG30" s="26"/>
      <c r="EH30" s="26"/>
      <c r="EI30" s="26"/>
      <c r="EJ30" s="26"/>
      <c r="EK30" s="26"/>
      <c r="EL30" s="26"/>
      <c r="EM30" s="26"/>
      <c r="EN30" s="26"/>
      <c r="EO30" s="26"/>
      <c r="EP30" s="26"/>
      <c r="EQ30" s="26"/>
      <c r="ER30" s="26"/>
      <c r="ES30" s="26"/>
      <c r="ET30" s="26"/>
      <c r="EU30" s="26"/>
      <c r="EV30" s="26"/>
      <c r="EW30" s="26"/>
      <c r="EX30" s="26"/>
      <c r="EY30" s="26"/>
      <c r="EZ30" s="26"/>
      <c r="FA30" s="26"/>
      <c r="FB30" s="26"/>
      <c r="FC30" s="26"/>
      <c r="FD30" s="26"/>
      <c r="FE30" s="26"/>
      <c r="FF30" s="26"/>
      <c r="FG30" s="26"/>
      <c r="FH30" s="26"/>
      <c r="FI30" s="26"/>
      <c r="FJ30" s="26"/>
      <c r="FK30" s="26"/>
      <c r="FL30" s="26"/>
      <c r="FM30" s="26"/>
      <c r="FN30" s="26"/>
      <c r="FO30" s="26"/>
      <c r="FP30" s="26"/>
      <c r="FQ30" s="26"/>
      <c r="FR30" s="26"/>
      <c r="FS30" s="26"/>
      <c r="FT30" s="26"/>
      <c r="FU30" s="26"/>
      <c r="FV30" s="26"/>
      <c r="FW30" s="26"/>
      <c r="FX30" s="26"/>
      <c r="FY30" s="26"/>
      <c r="FZ30" s="26"/>
      <c r="GA30" s="26"/>
      <c r="GB30" s="26"/>
      <c r="GC30" s="26"/>
      <c r="GD30" s="26"/>
      <c r="GE30" s="26"/>
      <c r="GF30" s="26"/>
      <c r="GG30" s="26"/>
      <c r="GH30" s="26"/>
      <c r="GI30" s="123"/>
    </row>
    <row r="31" spans="1:191" s="21" customFormat="1" ht="30" customHeight="1" thickBot="1" x14ac:dyDescent="0.2">
      <c r="A31" s="121" t="s">
        <v>107</v>
      </c>
      <c r="B31" s="56" t="s">
        <v>108</v>
      </c>
      <c r="C31" s="56" t="s">
        <v>109</v>
      </c>
      <c r="D31" s="57" t="s">
        <v>68</v>
      </c>
      <c r="E31" s="40">
        <v>1</v>
      </c>
      <c r="F31" s="58">
        <f>G29+2</f>
        <v>46042</v>
      </c>
      <c r="G31" s="58">
        <f>F31+10</f>
        <v>46052</v>
      </c>
      <c r="H31" s="56" t="s">
        <v>110</v>
      </c>
      <c r="I31" s="3"/>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c r="CC31" s="26"/>
      <c r="CD31" s="26"/>
      <c r="CE31" s="26"/>
      <c r="CF31" s="26"/>
      <c r="CG31" s="26"/>
      <c r="CH31" s="26"/>
      <c r="CI31" s="26"/>
      <c r="CJ31" s="26"/>
      <c r="CK31" s="26"/>
      <c r="CL31" s="26"/>
      <c r="CM31" s="26"/>
      <c r="CN31" s="26"/>
      <c r="CO31" s="26"/>
      <c r="CP31" s="26"/>
      <c r="CQ31" s="26"/>
      <c r="CR31" s="26"/>
      <c r="CS31" s="26"/>
      <c r="CT31" s="26"/>
      <c r="CU31" s="26"/>
      <c r="CV31" s="26"/>
      <c r="CW31" s="26"/>
      <c r="CX31" s="26"/>
      <c r="CY31" s="26"/>
      <c r="CZ31" s="26"/>
      <c r="DA31" s="26"/>
      <c r="DB31" s="26"/>
      <c r="DC31" s="26"/>
      <c r="DD31" s="26"/>
      <c r="DE31" s="26"/>
      <c r="DF31" s="26"/>
      <c r="DG31" s="26"/>
      <c r="DH31" s="26"/>
      <c r="DI31" s="26"/>
      <c r="DJ31" s="26"/>
      <c r="DK31" s="26"/>
      <c r="DL31" s="26"/>
      <c r="DM31" s="26"/>
      <c r="DN31" s="26"/>
      <c r="DO31" s="26"/>
      <c r="DP31" s="26"/>
      <c r="DQ31" s="26"/>
      <c r="DR31" s="26"/>
      <c r="DS31" s="26"/>
      <c r="DT31" s="26"/>
      <c r="DU31" s="26"/>
      <c r="DV31" s="26"/>
      <c r="DW31" s="26"/>
      <c r="DX31" s="26"/>
      <c r="DY31" s="26"/>
      <c r="DZ31" s="26"/>
      <c r="EA31" s="26"/>
      <c r="EB31" s="26"/>
      <c r="EC31" s="26"/>
      <c r="ED31" s="26"/>
      <c r="EE31" s="26"/>
      <c r="EF31" s="26"/>
      <c r="EG31" s="26"/>
      <c r="EH31" s="26"/>
      <c r="EI31" s="26"/>
      <c r="EJ31" s="26"/>
      <c r="EK31" s="26"/>
      <c r="EL31" s="26"/>
      <c r="EM31" s="26"/>
      <c r="EN31" s="26"/>
      <c r="EO31" s="26"/>
      <c r="EP31" s="26"/>
      <c r="EQ31" s="26"/>
      <c r="ER31" s="26"/>
      <c r="ES31" s="26"/>
      <c r="ET31" s="26"/>
      <c r="EU31" s="26"/>
      <c r="EV31" s="26"/>
      <c r="EW31" s="26"/>
      <c r="EX31" s="26"/>
      <c r="EY31" s="26"/>
      <c r="EZ31" s="26"/>
      <c r="FA31" s="26"/>
      <c r="FB31" s="26"/>
      <c r="FC31" s="26"/>
      <c r="FD31" s="26"/>
      <c r="FE31" s="26"/>
      <c r="FF31" s="26"/>
      <c r="FG31" s="26"/>
      <c r="FH31" s="26"/>
      <c r="FI31" s="26"/>
      <c r="FJ31" s="26"/>
      <c r="FK31" s="26"/>
      <c r="FL31" s="26"/>
      <c r="FM31" s="26"/>
      <c r="FN31" s="26"/>
      <c r="FO31" s="26"/>
      <c r="FP31" s="26"/>
      <c r="FQ31" s="26"/>
      <c r="FR31" s="26"/>
      <c r="FS31" s="26"/>
      <c r="FT31" s="26"/>
      <c r="FU31" s="26"/>
      <c r="FV31" s="26"/>
      <c r="FW31" s="26"/>
      <c r="FX31" s="26"/>
      <c r="FY31" s="26"/>
      <c r="FZ31" s="26"/>
      <c r="GA31" s="26"/>
      <c r="GB31" s="26"/>
      <c r="GC31" s="26"/>
      <c r="GD31" s="26"/>
      <c r="GE31" s="26"/>
      <c r="GF31" s="26"/>
      <c r="GG31" s="26"/>
      <c r="GH31" s="26"/>
      <c r="GI31" s="123"/>
    </row>
    <row r="32" spans="1:191" s="21" customFormat="1" ht="30" customHeight="1" thickBot="1" x14ac:dyDescent="0.2">
      <c r="A32" s="121" t="s">
        <v>111</v>
      </c>
      <c r="B32" s="56" t="s">
        <v>112</v>
      </c>
      <c r="C32" s="56" t="s">
        <v>109</v>
      </c>
      <c r="D32" s="57" t="s">
        <v>113</v>
      </c>
      <c r="E32" s="40">
        <v>1</v>
      </c>
      <c r="F32" s="58">
        <f>F31+20</f>
        <v>46062</v>
      </c>
      <c r="G32" s="58">
        <f>F32+14</f>
        <v>46076</v>
      </c>
      <c r="H32" s="56" t="s">
        <v>114</v>
      </c>
      <c r="I32" s="3"/>
      <c r="J32" s="26"/>
      <c r="K32" s="26"/>
      <c r="L32" s="26"/>
      <c r="M32" s="26"/>
      <c r="N32" s="26"/>
      <c r="O32" s="26"/>
      <c r="P32" s="26"/>
      <c r="Q32" s="26"/>
      <c r="R32" s="26"/>
      <c r="S32" s="26"/>
      <c r="T32" s="26"/>
      <c r="U32" s="26"/>
      <c r="V32" s="26"/>
      <c r="W32" s="26"/>
      <c r="X32" s="26"/>
      <c r="Y32" s="26"/>
      <c r="Z32" s="26"/>
      <c r="AA32" s="26"/>
      <c r="AB32" s="26"/>
      <c r="AC32" s="26"/>
      <c r="AD32" s="26"/>
      <c r="AE32" s="26"/>
      <c r="AF32" s="26"/>
      <c r="AG32" s="26"/>
      <c r="AH32" s="26"/>
      <c r="AI32" s="26"/>
      <c r="AJ32" s="26"/>
      <c r="AK32" s="26"/>
      <c r="AL32" s="26"/>
      <c r="AM32" s="26"/>
      <c r="AN32" s="26"/>
      <c r="AO32" s="26"/>
      <c r="AP32" s="26"/>
      <c r="AQ32" s="26"/>
      <c r="AR32" s="26"/>
      <c r="AS32" s="26"/>
      <c r="AT32" s="26"/>
      <c r="AU32" s="26"/>
      <c r="AV32" s="26"/>
      <c r="AW32" s="26"/>
      <c r="AX32" s="26"/>
      <c r="AY32" s="26"/>
      <c r="AZ32" s="26"/>
      <c r="BA32" s="26"/>
      <c r="BB32" s="26"/>
      <c r="BC32" s="26"/>
      <c r="BD32" s="26"/>
      <c r="BE32" s="26"/>
      <c r="BF32" s="26"/>
      <c r="BG32" s="26"/>
      <c r="BH32" s="26"/>
      <c r="BI32" s="26"/>
      <c r="BJ32" s="26"/>
      <c r="BK32" s="26"/>
      <c r="BL32" s="26"/>
      <c r="BM32" s="26"/>
      <c r="BN32" s="26"/>
      <c r="BO32" s="26"/>
      <c r="BP32" s="26"/>
      <c r="BQ32" s="26"/>
      <c r="BR32" s="26"/>
      <c r="BS32" s="26"/>
      <c r="BT32" s="26"/>
      <c r="BU32" s="26"/>
      <c r="BV32" s="26"/>
      <c r="BW32" s="26"/>
      <c r="BX32" s="26"/>
      <c r="BY32" s="26"/>
      <c r="BZ32" s="26"/>
      <c r="CA32" s="26"/>
      <c r="CB32" s="26"/>
      <c r="CC32" s="26"/>
      <c r="CD32" s="26"/>
      <c r="CE32" s="26"/>
      <c r="CF32" s="26"/>
      <c r="CG32" s="26"/>
      <c r="CH32" s="26"/>
      <c r="CI32" s="26"/>
      <c r="CJ32" s="26"/>
      <c r="CK32" s="26"/>
      <c r="CL32" s="26"/>
      <c r="CM32" s="26"/>
      <c r="CN32" s="26"/>
      <c r="CO32" s="26"/>
      <c r="CP32" s="26"/>
      <c r="CQ32" s="26"/>
      <c r="CR32" s="26"/>
      <c r="CS32" s="26"/>
      <c r="CT32" s="26"/>
      <c r="CU32" s="26"/>
      <c r="CV32" s="26"/>
      <c r="CW32" s="26"/>
      <c r="CX32" s="26"/>
      <c r="CY32" s="26"/>
      <c r="CZ32" s="26"/>
      <c r="DA32" s="26"/>
      <c r="DB32" s="26"/>
      <c r="DC32" s="26"/>
      <c r="DD32" s="26"/>
      <c r="DE32" s="26"/>
      <c r="DF32" s="26"/>
      <c r="DG32" s="26"/>
      <c r="DH32" s="26"/>
      <c r="DI32" s="26"/>
      <c r="DJ32" s="26"/>
      <c r="DK32" s="26"/>
      <c r="DL32" s="26"/>
      <c r="DM32" s="26"/>
      <c r="DN32" s="26"/>
      <c r="DO32" s="26"/>
      <c r="DP32" s="26"/>
      <c r="DQ32" s="26"/>
      <c r="DR32" s="26"/>
      <c r="DS32" s="26"/>
      <c r="DT32" s="26"/>
      <c r="DU32" s="26"/>
      <c r="DV32" s="26"/>
      <c r="DW32" s="26"/>
      <c r="DX32" s="26"/>
      <c r="DY32" s="26"/>
      <c r="DZ32" s="26"/>
      <c r="EA32" s="26"/>
      <c r="EB32" s="26"/>
      <c r="EC32" s="26"/>
      <c r="ED32" s="26"/>
      <c r="EE32" s="26"/>
      <c r="EF32" s="26"/>
      <c r="EG32" s="26"/>
      <c r="EH32" s="26"/>
      <c r="EI32" s="26"/>
      <c r="EJ32" s="26"/>
      <c r="EK32" s="26"/>
      <c r="EL32" s="26"/>
      <c r="EM32" s="26"/>
      <c r="EN32" s="26"/>
      <c r="EO32" s="26"/>
      <c r="EP32" s="26"/>
      <c r="EQ32" s="26"/>
      <c r="ER32" s="26"/>
      <c r="ES32" s="26"/>
      <c r="ET32" s="26"/>
      <c r="EU32" s="26"/>
      <c r="EV32" s="26"/>
      <c r="EW32" s="26"/>
      <c r="EX32" s="26"/>
      <c r="EY32" s="26"/>
      <c r="EZ32" s="26"/>
      <c r="FA32" s="26"/>
      <c r="FB32" s="26"/>
      <c r="FC32" s="26"/>
      <c r="FD32" s="26"/>
      <c r="FE32" s="26"/>
      <c r="FF32" s="26"/>
      <c r="FG32" s="26"/>
      <c r="FH32" s="26"/>
      <c r="FI32" s="26"/>
      <c r="FJ32" s="26"/>
      <c r="FK32" s="26"/>
      <c r="FL32" s="26"/>
      <c r="FM32" s="26"/>
      <c r="FN32" s="26"/>
      <c r="FO32" s="26"/>
      <c r="FP32" s="26"/>
      <c r="FQ32" s="26"/>
      <c r="FR32" s="26"/>
      <c r="FS32" s="26"/>
      <c r="FT32" s="26"/>
      <c r="FU32" s="26"/>
      <c r="FV32" s="26"/>
      <c r="FW32" s="26"/>
      <c r="FX32" s="26"/>
      <c r="FY32" s="26"/>
      <c r="FZ32" s="26"/>
      <c r="GA32" s="26"/>
      <c r="GB32" s="26"/>
      <c r="GC32" s="26"/>
      <c r="GD32" s="26"/>
      <c r="GE32" s="26"/>
      <c r="GF32" s="26"/>
      <c r="GG32" s="26"/>
      <c r="GH32" s="26"/>
      <c r="GI32" s="123"/>
    </row>
    <row r="33" spans="1:191" s="21" customFormat="1" ht="30" customHeight="1" thickBot="1" x14ac:dyDescent="0.2">
      <c r="A33" s="121" t="s">
        <v>115</v>
      </c>
      <c r="B33" s="56" t="s">
        <v>116</v>
      </c>
      <c r="C33" s="56" t="s">
        <v>117</v>
      </c>
      <c r="D33" s="57" t="s">
        <v>113</v>
      </c>
      <c r="E33" s="40">
        <v>1</v>
      </c>
      <c r="F33" s="58">
        <f>F32</f>
        <v>46062</v>
      </c>
      <c r="G33" s="58">
        <f>F33+16</f>
        <v>46078</v>
      </c>
      <c r="H33" s="56" t="s">
        <v>118</v>
      </c>
      <c r="I33" s="3"/>
      <c r="J33" s="26"/>
      <c r="K33" s="26"/>
      <c r="L33" s="26"/>
      <c r="M33" s="26"/>
      <c r="N33" s="26"/>
      <c r="O33" s="26"/>
      <c r="P33" s="26"/>
      <c r="Q33" s="26"/>
      <c r="R33" s="26"/>
      <c r="S33" s="26"/>
      <c r="T33" s="26"/>
      <c r="U33" s="26"/>
      <c r="V33" s="26"/>
      <c r="W33" s="26"/>
      <c r="X33" s="26"/>
      <c r="Y33" s="26"/>
      <c r="Z33" s="26"/>
      <c r="AA33" s="26"/>
      <c r="AB33" s="26"/>
      <c r="AC33" s="26"/>
      <c r="AD33" s="26"/>
      <c r="AE33" s="26"/>
      <c r="AF33" s="26"/>
      <c r="AG33" s="26"/>
      <c r="AH33" s="26"/>
      <c r="AI33" s="26"/>
      <c r="AJ33" s="26"/>
      <c r="AK33" s="26"/>
      <c r="AL33" s="26"/>
      <c r="AM33" s="26"/>
      <c r="AN33" s="26"/>
      <c r="AO33" s="26"/>
      <c r="AP33" s="26"/>
      <c r="AQ33" s="26"/>
      <c r="AR33" s="26"/>
      <c r="AS33" s="26"/>
      <c r="AT33" s="26"/>
      <c r="AU33" s="26"/>
      <c r="AV33" s="26"/>
      <c r="AW33" s="26"/>
      <c r="AX33" s="26"/>
      <c r="AY33" s="26"/>
      <c r="AZ33" s="26"/>
      <c r="BA33" s="26"/>
      <c r="BB33" s="26"/>
      <c r="BC33" s="26"/>
      <c r="BD33" s="26"/>
      <c r="BE33" s="26"/>
      <c r="BF33" s="26"/>
      <c r="BG33" s="26"/>
      <c r="BH33" s="26"/>
      <c r="BI33" s="26"/>
      <c r="BJ33" s="26"/>
      <c r="BK33" s="26"/>
      <c r="BL33" s="26"/>
      <c r="BM33" s="26"/>
      <c r="BN33" s="26"/>
      <c r="BO33" s="26"/>
      <c r="BP33" s="26"/>
      <c r="BQ33" s="26"/>
      <c r="BR33" s="26"/>
      <c r="BS33" s="26"/>
      <c r="BT33" s="26"/>
      <c r="BU33" s="26"/>
      <c r="BV33" s="26"/>
      <c r="BW33" s="26"/>
      <c r="BX33" s="26"/>
      <c r="BY33" s="26"/>
      <c r="BZ33" s="26"/>
      <c r="CA33" s="26"/>
      <c r="CB33" s="26"/>
      <c r="CC33" s="26"/>
      <c r="CD33" s="26"/>
      <c r="CE33" s="26"/>
      <c r="CF33" s="26"/>
      <c r="CG33" s="26"/>
      <c r="CH33" s="26"/>
      <c r="CI33" s="26"/>
      <c r="CJ33" s="26"/>
      <c r="CK33" s="26"/>
      <c r="CL33" s="26"/>
      <c r="CM33" s="26"/>
      <c r="CN33" s="26"/>
      <c r="CO33" s="26"/>
      <c r="CP33" s="26"/>
      <c r="CQ33" s="26"/>
      <c r="CR33" s="26"/>
      <c r="CS33" s="26"/>
      <c r="CT33" s="26"/>
      <c r="CU33" s="26"/>
      <c r="CV33" s="26"/>
      <c r="CW33" s="26"/>
      <c r="CX33" s="26"/>
      <c r="CY33" s="26"/>
      <c r="CZ33" s="26"/>
      <c r="DA33" s="26"/>
      <c r="DB33" s="26"/>
      <c r="DC33" s="26"/>
      <c r="DD33" s="26"/>
      <c r="DE33" s="26"/>
      <c r="DF33" s="26"/>
      <c r="DG33" s="26"/>
      <c r="DH33" s="26"/>
      <c r="DI33" s="26"/>
      <c r="DJ33" s="26"/>
      <c r="DK33" s="26"/>
      <c r="DL33" s="26"/>
      <c r="DM33" s="26"/>
      <c r="DN33" s="26"/>
      <c r="DO33" s="26"/>
      <c r="DP33" s="26"/>
      <c r="DQ33" s="26"/>
      <c r="DR33" s="26"/>
      <c r="DS33" s="26"/>
      <c r="DT33" s="26"/>
      <c r="DU33" s="26"/>
      <c r="DV33" s="26"/>
      <c r="DW33" s="26"/>
      <c r="DX33" s="26"/>
      <c r="DY33" s="26"/>
      <c r="DZ33" s="26"/>
      <c r="EA33" s="26"/>
      <c r="EB33" s="26"/>
      <c r="EC33" s="26"/>
      <c r="ED33" s="26"/>
      <c r="EE33" s="26"/>
      <c r="EF33" s="26"/>
      <c r="EG33" s="26"/>
      <c r="EH33" s="26"/>
      <c r="EI33" s="26"/>
      <c r="EJ33" s="26"/>
      <c r="EK33" s="26"/>
      <c r="EL33" s="26"/>
      <c r="EM33" s="26"/>
      <c r="EN33" s="26"/>
      <c r="EO33" s="26"/>
      <c r="EP33" s="26"/>
      <c r="EQ33" s="26"/>
      <c r="ER33" s="26"/>
      <c r="ES33" s="26"/>
      <c r="ET33" s="26"/>
      <c r="EU33" s="26"/>
      <c r="EV33" s="26"/>
      <c r="EW33" s="26"/>
      <c r="EX33" s="26"/>
      <c r="EY33" s="26"/>
      <c r="EZ33" s="26"/>
      <c r="FA33" s="26"/>
      <c r="FB33" s="26"/>
      <c r="FC33" s="26"/>
      <c r="FD33" s="26"/>
      <c r="FE33" s="26"/>
      <c r="FF33" s="26"/>
      <c r="FG33" s="26"/>
      <c r="FH33" s="26"/>
      <c r="FI33" s="26"/>
      <c r="FJ33" s="26"/>
      <c r="FK33" s="26"/>
      <c r="FL33" s="26"/>
      <c r="FM33" s="26"/>
      <c r="FN33" s="26"/>
      <c r="FO33" s="26"/>
      <c r="FP33" s="26"/>
      <c r="FQ33" s="26"/>
      <c r="FR33" s="26"/>
      <c r="FS33" s="26"/>
      <c r="FT33" s="26"/>
      <c r="FU33" s="26"/>
      <c r="FV33" s="26"/>
      <c r="FW33" s="26"/>
      <c r="FX33" s="26"/>
      <c r="FY33" s="26"/>
      <c r="FZ33" s="26"/>
      <c r="GA33" s="26"/>
      <c r="GB33" s="26"/>
      <c r="GC33" s="26"/>
      <c r="GD33" s="26"/>
      <c r="GE33" s="26"/>
      <c r="GF33" s="26"/>
      <c r="GG33" s="26"/>
      <c r="GH33" s="26"/>
      <c r="GI33" s="123"/>
    </row>
    <row r="34" spans="1:191" s="21" customFormat="1" ht="30" customHeight="1" thickBot="1" x14ac:dyDescent="0.2">
      <c r="A34" s="121" t="s">
        <v>119</v>
      </c>
      <c r="B34" s="56" t="s">
        <v>120</v>
      </c>
      <c r="C34" s="56" t="s">
        <v>121</v>
      </c>
      <c r="D34" s="57" t="s">
        <v>52</v>
      </c>
      <c r="E34" s="40">
        <v>1</v>
      </c>
      <c r="F34" s="58">
        <f>F33+14</f>
        <v>46076</v>
      </c>
      <c r="G34" s="58">
        <f>F34+14</f>
        <v>46090</v>
      </c>
      <c r="H34" s="56" t="s">
        <v>122</v>
      </c>
      <c r="I34" s="3"/>
      <c r="J34" s="26"/>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c r="BO34" s="26"/>
      <c r="BP34" s="26"/>
      <c r="BQ34" s="26"/>
      <c r="BR34" s="26"/>
      <c r="BS34" s="26"/>
      <c r="BT34" s="26"/>
      <c r="BU34" s="26"/>
      <c r="BV34" s="26"/>
      <c r="BW34" s="26"/>
      <c r="BX34" s="26"/>
      <c r="BY34" s="26"/>
      <c r="BZ34" s="26"/>
      <c r="CA34" s="26"/>
      <c r="CB34" s="26"/>
      <c r="CC34" s="26"/>
      <c r="CD34" s="26"/>
      <c r="CE34" s="26"/>
      <c r="CF34" s="26"/>
      <c r="CG34" s="26"/>
      <c r="CH34" s="26"/>
      <c r="CI34" s="26"/>
      <c r="CJ34" s="26"/>
      <c r="CK34" s="26"/>
      <c r="CL34" s="26"/>
      <c r="CM34" s="26"/>
      <c r="CN34" s="26"/>
      <c r="CO34" s="26"/>
      <c r="CP34" s="26"/>
      <c r="CQ34" s="26"/>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c r="EY34" s="26"/>
      <c r="EZ34" s="26"/>
      <c r="FA34" s="26"/>
      <c r="FB34" s="26"/>
      <c r="FC34" s="26"/>
      <c r="FD34" s="26"/>
      <c r="FE34" s="26"/>
      <c r="FF34" s="26"/>
      <c r="FG34" s="26"/>
      <c r="FH34" s="26"/>
      <c r="FI34" s="26"/>
      <c r="FJ34" s="26"/>
      <c r="FK34" s="26"/>
      <c r="FL34" s="26"/>
      <c r="FM34" s="26"/>
      <c r="FN34" s="26"/>
      <c r="FO34" s="26"/>
      <c r="FP34" s="26"/>
      <c r="FQ34" s="26"/>
      <c r="FR34" s="26"/>
      <c r="FS34" s="26"/>
      <c r="FT34" s="26"/>
      <c r="FU34" s="26"/>
      <c r="FV34" s="26"/>
      <c r="FW34" s="26"/>
      <c r="FX34" s="26"/>
      <c r="FY34" s="26"/>
      <c r="FZ34" s="26"/>
      <c r="GA34" s="26"/>
      <c r="GB34" s="26"/>
      <c r="GC34" s="26"/>
      <c r="GD34" s="26"/>
      <c r="GE34" s="26"/>
      <c r="GF34" s="26"/>
      <c r="GG34" s="26"/>
      <c r="GH34" s="26"/>
      <c r="GI34" s="123"/>
    </row>
    <row r="35" spans="1:191" s="21" customFormat="1" ht="30" customHeight="1" thickBot="1" x14ac:dyDescent="0.2">
      <c r="A35" s="121" t="s">
        <v>123</v>
      </c>
      <c r="B35" s="56" t="s">
        <v>124</v>
      </c>
      <c r="C35" s="56" t="s">
        <v>125</v>
      </c>
      <c r="D35" s="57" t="s">
        <v>48</v>
      </c>
      <c r="E35" s="40">
        <v>1</v>
      </c>
      <c r="F35" s="58">
        <f>F34+6</f>
        <v>46082</v>
      </c>
      <c r="G35" s="58">
        <f>F35+7</f>
        <v>46089</v>
      </c>
      <c r="H35" s="56" t="s">
        <v>126</v>
      </c>
      <c r="I35" s="3"/>
      <c r="J35" s="26"/>
      <c r="K35" s="26"/>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26"/>
      <c r="AM35" s="26"/>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c r="BO35" s="26"/>
      <c r="BP35" s="26"/>
      <c r="BQ35" s="26"/>
      <c r="BR35" s="26"/>
      <c r="BS35" s="26"/>
      <c r="BT35" s="26"/>
      <c r="BU35" s="26"/>
      <c r="BV35" s="26"/>
      <c r="BW35" s="26"/>
      <c r="BX35" s="26"/>
      <c r="BY35" s="26"/>
      <c r="BZ35" s="26"/>
      <c r="CA35" s="26"/>
      <c r="CB35" s="26"/>
      <c r="CC35" s="26"/>
      <c r="CD35" s="26"/>
      <c r="CE35" s="26"/>
      <c r="CF35" s="26"/>
      <c r="CG35" s="26"/>
      <c r="CH35" s="26"/>
      <c r="CI35" s="26"/>
      <c r="CJ35" s="26"/>
      <c r="CK35" s="26"/>
      <c r="CL35" s="26"/>
      <c r="CM35" s="26"/>
      <c r="CN35" s="26"/>
      <c r="CO35" s="26"/>
      <c r="CP35" s="26"/>
      <c r="CQ35" s="26"/>
      <c r="CR35" s="26"/>
      <c r="CS35" s="26"/>
      <c r="CT35" s="26"/>
      <c r="CU35" s="26"/>
      <c r="CV35" s="26"/>
      <c r="CW35" s="26"/>
      <c r="CX35" s="26"/>
      <c r="CY35" s="26"/>
      <c r="CZ35" s="26"/>
      <c r="DA35" s="26"/>
      <c r="DB35" s="26"/>
      <c r="DC35" s="26"/>
      <c r="DD35" s="26"/>
      <c r="DE35" s="26"/>
      <c r="DF35" s="26"/>
      <c r="DG35" s="26"/>
      <c r="DH35" s="26"/>
      <c r="DI35" s="26"/>
      <c r="DJ35" s="26"/>
      <c r="DK35" s="26"/>
      <c r="DL35" s="26"/>
      <c r="DM35" s="26"/>
      <c r="DN35" s="26"/>
      <c r="DO35" s="26"/>
      <c r="DP35" s="26"/>
      <c r="DQ35" s="26"/>
      <c r="DR35" s="26"/>
      <c r="DS35" s="26"/>
      <c r="DT35" s="26"/>
      <c r="DU35" s="26"/>
      <c r="DV35" s="26"/>
      <c r="DW35" s="26"/>
      <c r="DX35" s="26"/>
      <c r="DY35" s="26"/>
      <c r="DZ35" s="26"/>
      <c r="EA35" s="26"/>
      <c r="EB35" s="26"/>
      <c r="EC35" s="26"/>
      <c r="ED35" s="26"/>
      <c r="EE35" s="26"/>
      <c r="EF35" s="26"/>
      <c r="EG35" s="26"/>
      <c r="EH35" s="26"/>
      <c r="EI35" s="26"/>
      <c r="EJ35" s="26"/>
      <c r="EK35" s="26"/>
      <c r="EL35" s="26"/>
      <c r="EM35" s="26"/>
      <c r="EN35" s="26"/>
      <c r="EO35" s="26"/>
      <c r="EP35" s="26"/>
      <c r="EQ35" s="26"/>
      <c r="ER35" s="26"/>
      <c r="ES35" s="26"/>
      <c r="ET35" s="26"/>
      <c r="EU35" s="26"/>
      <c r="EV35" s="26"/>
      <c r="EW35" s="26"/>
      <c r="EX35" s="26"/>
      <c r="EY35" s="26"/>
      <c r="EZ35" s="26"/>
      <c r="FA35" s="26"/>
      <c r="FB35" s="26"/>
      <c r="FC35" s="26"/>
      <c r="FD35" s="26"/>
      <c r="FE35" s="26"/>
      <c r="FF35" s="26"/>
      <c r="FG35" s="26"/>
      <c r="FH35" s="26"/>
      <c r="FI35" s="26"/>
      <c r="FJ35" s="26"/>
      <c r="FK35" s="26"/>
      <c r="FL35" s="26"/>
      <c r="FM35" s="26"/>
      <c r="FN35" s="26"/>
      <c r="FO35" s="26"/>
      <c r="FP35" s="26"/>
      <c r="FQ35" s="26"/>
      <c r="FR35" s="26"/>
      <c r="FS35" s="26"/>
      <c r="FT35" s="26"/>
      <c r="FU35" s="26"/>
      <c r="FV35" s="26"/>
      <c r="FW35" s="26"/>
      <c r="FX35" s="26"/>
      <c r="FY35" s="26"/>
      <c r="FZ35" s="26"/>
      <c r="GA35" s="26"/>
      <c r="GB35" s="26"/>
      <c r="GC35" s="26"/>
      <c r="GD35" s="26"/>
      <c r="GE35" s="26"/>
      <c r="GF35" s="26"/>
      <c r="GG35" s="26"/>
      <c r="GH35" s="26"/>
      <c r="GI35" s="123"/>
    </row>
    <row r="36" spans="1:191" s="21" customFormat="1" ht="30" customHeight="1" thickBot="1" x14ac:dyDescent="0.2">
      <c r="A36" s="121" t="s">
        <v>127</v>
      </c>
      <c r="B36" s="56" t="s">
        <v>128</v>
      </c>
      <c r="C36" s="56" t="s">
        <v>129</v>
      </c>
      <c r="D36" s="57" t="s">
        <v>130</v>
      </c>
      <c r="E36" s="40">
        <v>1</v>
      </c>
      <c r="F36" s="58">
        <f>F35-2</f>
        <v>46080</v>
      </c>
      <c r="G36" s="58">
        <f>F36+8</f>
        <v>46088</v>
      </c>
      <c r="H36" s="56" t="s">
        <v>131</v>
      </c>
      <c r="I36" s="3"/>
      <c r="J36" s="26"/>
      <c r="K36" s="26"/>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c r="BO36" s="26"/>
      <c r="BP36" s="26"/>
      <c r="BQ36" s="26"/>
      <c r="BR36" s="26"/>
      <c r="BS36" s="26"/>
      <c r="BT36" s="26"/>
      <c r="BU36" s="26"/>
      <c r="BV36" s="26"/>
      <c r="BW36" s="26"/>
      <c r="BX36" s="26"/>
      <c r="BY36" s="26"/>
      <c r="BZ36" s="26"/>
      <c r="CA36" s="26"/>
      <c r="CB36" s="26"/>
      <c r="CC36" s="26"/>
      <c r="CD36" s="26"/>
      <c r="CE36" s="26"/>
      <c r="CF36" s="26"/>
      <c r="CG36" s="26"/>
      <c r="CH36" s="26"/>
      <c r="CI36" s="26"/>
      <c r="CJ36" s="26"/>
      <c r="CK36" s="26"/>
      <c r="CL36" s="26"/>
      <c r="CM36" s="26"/>
      <c r="CN36" s="26"/>
      <c r="CO36" s="26"/>
      <c r="CP36" s="26"/>
      <c r="CQ36" s="26"/>
      <c r="CR36" s="26"/>
      <c r="CS36" s="26"/>
      <c r="CT36" s="26"/>
      <c r="CU36" s="26"/>
      <c r="CV36" s="26"/>
      <c r="CW36" s="26"/>
      <c r="CX36" s="26"/>
      <c r="CY36" s="26"/>
      <c r="CZ36" s="26"/>
      <c r="DA36" s="26"/>
      <c r="DB36" s="26"/>
      <c r="DC36" s="26"/>
      <c r="DD36" s="26"/>
      <c r="DE36" s="26"/>
      <c r="DF36" s="26"/>
      <c r="DG36" s="26"/>
      <c r="DH36" s="26"/>
      <c r="DI36" s="26"/>
      <c r="DJ36" s="26"/>
      <c r="DK36" s="26"/>
      <c r="DL36" s="26"/>
      <c r="DM36" s="26"/>
      <c r="DN36" s="26"/>
      <c r="DO36" s="26"/>
      <c r="DP36" s="26"/>
      <c r="DQ36" s="26"/>
      <c r="DR36" s="26"/>
      <c r="DS36" s="26"/>
      <c r="DT36" s="26"/>
      <c r="DU36" s="26"/>
      <c r="DV36" s="26"/>
      <c r="DW36" s="26"/>
      <c r="DX36" s="26"/>
      <c r="DY36" s="26"/>
      <c r="DZ36" s="26"/>
      <c r="EA36" s="26"/>
      <c r="EB36" s="26"/>
      <c r="EC36" s="26"/>
      <c r="ED36" s="26"/>
      <c r="EE36" s="26"/>
      <c r="EF36" s="26"/>
      <c r="EG36" s="26"/>
      <c r="EH36" s="26"/>
      <c r="EI36" s="26"/>
      <c r="EJ36" s="26"/>
      <c r="EK36" s="26"/>
      <c r="EL36" s="26"/>
      <c r="EM36" s="26"/>
      <c r="EN36" s="26"/>
      <c r="EO36" s="26"/>
      <c r="EP36" s="26"/>
      <c r="EQ36" s="26"/>
      <c r="ER36" s="26"/>
      <c r="ES36" s="26"/>
      <c r="ET36" s="26"/>
      <c r="EU36" s="26"/>
      <c r="EV36" s="26"/>
      <c r="EW36" s="26"/>
      <c r="EX36" s="26"/>
      <c r="EY36" s="26"/>
      <c r="EZ36" s="26"/>
      <c r="FA36" s="26"/>
      <c r="FB36" s="26"/>
      <c r="FC36" s="26"/>
      <c r="FD36" s="26"/>
      <c r="FE36" s="26"/>
      <c r="FF36" s="26"/>
      <c r="FG36" s="26"/>
      <c r="FH36" s="26"/>
      <c r="FI36" s="26"/>
      <c r="FJ36" s="26"/>
      <c r="FK36" s="26"/>
      <c r="FL36" s="26"/>
      <c r="FM36" s="26"/>
      <c r="FN36" s="26"/>
      <c r="FO36" s="26"/>
      <c r="FP36" s="26"/>
      <c r="FQ36" s="26"/>
      <c r="FR36" s="26"/>
      <c r="FS36" s="26"/>
      <c r="FT36" s="26"/>
      <c r="FU36" s="26"/>
      <c r="FV36" s="26"/>
      <c r="FW36" s="26"/>
      <c r="FX36" s="26"/>
      <c r="FY36" s="26"/>
      <c r="FZ36" s="26"/>
      <c r="GA36" s="26"/>
      <c r="GB36" s="26"/>
      <c r="GC36" s="26"/>
      <c r="GD36" s="26"/>
      <c r="GE36" s="26"/>
      <c r="GF36" s="26"/>
      <c r="GG36" s="26"/>
      <c r="GH36" s="26"/>
      <c r="GI36" s="123"/>
    </row>
    <row r="37" spans="1:191" s="21" customFormat="1" ht="30" customHeight="1" thickBot="1" x14ac:dyDescent="0.2">
      <c r="A37" s="121" t="s">
        <v>132</v>
      </c>
      <c r="B37" s="56" t="s">
        <v>133</v>
      </c>
      <c r="C37" s="56" t="s">
        <v>134</v>
      </c>
      <c r="D37" s="57" t="s">
        <v>31</v>
      </c>
      <c r="E37" s="40">
        <v>1</v>
      </c>
      <c r="F37" s="58">
        <f>G36+5</f>
        <v>46093</v>
      </c>
      <c r="G37" s="58">
        <f>F37+7</f>
        <v>46100</v>
      </c>
      <c r="H37" s="56" t="s">
        <v>135</v>
      </c>
      <c r="I37" s="3"/>
      <c r="J37" s="26"/>
      <c r="K37" s="26"/>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26"/>
      <c r="AM37" s="26"/>
      <c r="AN37" s="26"/>
      <c r="AO37" s="26"/>
      <c r="AP37" s="26"/>
      <c r="AQ37" s="26"/>
      <c r="AR37" s="26"/>
      <c r="AS37" s="26"/>
      <c r="AT37" s="26"/>
      <c r="AU37" s="26"/>
      <c r="AV37" s="26"/>
      <c r="AW37" s="26"/>
      <c r="AX37" s="26"/>
      <c r="AY37" s="26"/>
      <c r="AZ37" s="26"/>
      <c r="BA37" s="26"/>
      <c r="BB37" s="26"/>
      <c r="BC37" s="26"/>
      <c r="BD37" s="26"/>
      <c r="BE37" s="26"/>
      <c r="BF37" s="26"/>
      <c r="BG37" s="26"/>
      <c r="BH37" s="26"/>
      <c r="BI37" s="26"/>
      <c r="BJ37" s="26"/>
      <c r="BK37" s="26"/>
      <c r="BL37" s="26"/>
      <c r="BM37" s="26"/>
      <c r="BN37" s="26"/>
      <c r="BO37" s="26"/>
      <c r="BP37" s="26"/>
      <c r="BQ37" s="26"/>
      <c r="BR37" s="26"/>
      <c r="BS37" s="26"/>
      <c r="BT37" s="26"/>
      <c r="BU37" s="26"/>
      <c r="BV37" s="26"/>
      <c r="BW37" s="26"/>
      <c r="BX37" s="26"/>
      <c r="BY37" s="26"/>
      <c r="BZ37" s="26"/>
      <c r="CA37" s="26"/>
      <c r="CB37" s="26"/>
      <c r="CC37" s="26"/>
      <c r="CD37" s="26"/>
      <c r="CE37" s="26"/>
      <c r="CF37" s="26"/>
      <c r="CG37" s="26"/>
      <c r="CH37" s="26"/>
      <c r="CI37" s="26"/>
      <c r="CJ37" s="26"/>
      <c r="CK37" s="26"/>
      <c r="CL37" s="26"/>
      <c r="CM37" s="26"/>
      <c r="CN37" s="26"/>
      <c r="CO37" s="26"/>
      <c r="CP37" s="26"/>
      <c r="CQ37" s="26"/>
      <c r="CR37" s="26"/>
      <c r="CS37" s="26"/>
      <c r="CT37" s="26"/>
      <c r="CU37" s="26"/>
      <c r="CV37" s="26"/>
      <c r="CW37" s="26"/>
      <c r="CX37" s="26"/>
      <c r="CY37" s="26"/>
      <c r="CZ37" s="26"/>
      <c r="DA37" s="26"/>
      <c r="DB37" s="26"/>
      <c r="DC37" s="26"/>
      <c r="DD37" s="26"/>
      <c r="DE37" s="26"/>
      <c r="DF37" s="26"/>
      <c r="DG37" s="26"/>
      <c r="DH37" s="26"/>
      <c r="DI37" s="26"/>
      <c r="DJ37" s="26"/>
      <c r="DK37" s="26"/>
      <c r="DL37" s="26"/>
      <c r="DM37" s="26"/>
      <c r="DN37" s="26"/>
      <c r="DO37" s="26"/>
      <c r="DP37" s="26"/>
      <c r="DQ37" s="26"/>
      <c r="DR37" s="26"/>
      <c r="DS37" s="26"/>
      <c r="DT37" s="26"/>
      <c r="DU37" s="26"/>
      <c r="DV37" s="26"/>
      <c r="DW37" s="26"/>
      <c r="DX37" s="26"/>
      <c r="DY37" s="26"/>
      <c r="DZ37" s="26"/>
      <c r="EA37" s="26"/>
      <c r="EB37" s="26"/>
      <c r="EC37" s="26"/>
      <c r="ED37" s="26"/>
      <c r="EE37" s="26"/>
      <c r="EF37" s="26"/>
      <c r="EG37" s="26"/>
      <c r="EH37" s="26"/>
      <c r="EI37" s="26"/>
      <c r="EJ37" s="26"/>
      <c r="EK37" s="26"/>
      <c r="EL37" s="26"/>
      <c r="EM37" s="26"/>
      <c r="EN37" s="26"/>
      <c r="EO37" s="26"/>
      <c r="EP37" s="26"/>
      <c r="EQ37" s="26"/>
      <c r="ER37" s="26"/>
      <c r="ES37" s="26"/>
      <c r="ET37" s="26"/>
      <c r="EU37" s="26"/>
      <c r="EV37" s="26"/>
      <c r="EW37" s="26"/>
      <c r="EX37" s="26"/>
      <c r="EY37" s="26"/>
      <c r="EZ37" s="26"/>
      <c r="FA37" s="26"/>
      <c r="FB37" s="26"/>
      <c r="FC37" s="26"/>
      <c r="FD37" s="26"/>
      <c r="FE37" s="26"/>
      <c r="FF37" s="26"/>
      <c r="FG37" s="26"/>
      <c r="FH37" s="26"/>
      <c r="FI37" s="26"/>
      <c r="FJ37" s="26"/>
      <c r="FK37" s="26"/>
      <c r="FL37" s="26"/>
      <c r="FM37" s="26"/>
      <c r="FN37" s="26"/>
      <c r="FO37" s="26"/>
      <c r="FP37" s="26"/>
      <c r="FQ37" s="26"/>
      <c r="FR37" s="26"/>
      <c r="FS37" s="26"/>
      <c r="FT37" s="26"/>
      <c r="FU37" s="26"/>
      <c r="FV37" s="26"/>
      <c r="FW37" s="26"/>
      <c r="FX37" s="26"/>
      <c r="FY37" s="26"/>
      <c r="FZ37" s="26"/>
      <c r="GA37" s="26"/>
      <c r="GB37" s="26"/>
      <c r="GC37" s="26"/>
      <c r="GD37" s="26"/>
      <c r="GE37" s="26"/>
      <c r="GF37" s="26"/>
      <c r="GG37" s="26"/>
      <c r="GH37" s="26"/>
      <c r="GI37" s="123"/>
    </row>
    <row r="38" spans="1:191" s="21" customFormat="1" ht="30" customHeight="1" thickBot="1" x14ac:dyDescent="0.2">
      <c r="A38" s="121"/>
      <c r="B38" s="110" t="s">
        <v>136</v>
      </c>
      <c r="C38" s="110"/>
      <c r="D38" s="42"/>
      <c r="E38" s="111"/>
      <c r="F38" s="112"/>
      <c r="G38" s="113"/>
      <c r="H38" s="113"/>
      <c r="I38" s="3" t="str">
        <f>IF(OR(ISBLANK(task_start),ISBLANK(task_end)),"",task_end-task_start+1)</f>
        <v/>
      </c>
      <c r="J38" s="26"/>
      <c r="K38" s="26"/>
      <c r="L38" s="26"/>
      <c r="M38" s="26"/>
      <c r="N38" s="26"/>
      <c r="O38" s="26"/>
      <c r="P38" s="26"/>
      <c r="Q38" s="26"/>
      <c r="R38" s="26"/>
      <c r="S38" s="26"/>
      <c r="T38" s="26"/>
      <c r="U38" s="26"/>
      <c r="V38" s="26"/>
      <c r="W38" s="26"/>
      <c r="X38" s="26"/>
      <c r="Y38" s="26"/>
      <c r="Z38" s="26"/>
      <c r="AA38" s="26"/>
      <c r="AB38" s="26"/>
      <c r="AC38" s="26"/>
      <c r="AD38" s="26"/>
      <c r="AE38" s="26"/>
      <c r="AF38" s="26"/>
      <c r="AG38" s="26"/>
      <c r="AH38" s="26"/>
      <c r="AI38" s="26"/>
      <c r="AJ38" s="26"/>
      <c r="AK38" s="26"/>
      <c r="AL38" s="26"/>
      <c r="AM38" s="26"/>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c r="BO38" s="26"/>
      <c r="BP38" s="26"/>
      <c r="BQ38" s="26"/>
      <c r="BR38" s="26"/>
      <c r="BS38" s="26"/>
      <c r="BT38" s="26"/>
      <c r="BU38" s="26"/>
      <c r="BV38" s="26"/>
      <c r="BW38" s="26"/>
      <c r="BX38" s="26"/>
      <c r="BY38" s="26"/>
      <c r="BZ38" s="26"/>
      <c r="CA38" s="26"/>
      <c r="CB38" s="26"/>
      <c r="CC38" s="26"/>
      <c r="CD38" s="26"/>
      <c r="CE38" s="26"/>
      <c r="CF38" s="26"/>
      <c r="CG38" s="26"/>
      <c r="CH38" s="26"/>
      <c r="CI38" s="26"/>
      <c r="CJ38" s="26"/>
      <c r="CK38" s="26"/>
      <c r="CL38" s="26"/>
      <c r="CM38" s="26"/>
      <c r="CN38" s="26"/>
      <c r="CO38" s="26"/>
      <c r="CP38" s="26"/>
      <c r="CQ38" s="26"/>
      <c r="CR38" s="26"/>
      <c r="CS38" s="26"/>
      <c r="CT38" s="26"/>
      <c r="CU38" s="26"/>
      <c r="CV38" s="26"/>
      <c r="CW38" s="26"/>
      <c r="CX38" s="26"/>
      <c r="CY38" s="26"/>
      <c r="CZ38" s="26"/>
      <c r="DA38" s="26"/>
      <c r="DB38" s="26"/>
      <c r="DC38" s="26"/>
      <c r="DD38" s="26"/>
      <c r="DE38" s="26"/>
      <c r="DF38" s="26"/>
      <c r="DG38" s="26"/>
      <c r="DH38" s="26"/>
      <c r="DI38" s="26"/>
      <c r="DJ38" s="26"/>
      <c r="DK38" s="26"/>
      <c r="DL38" s="26"/>
      <c r="DM38" s="26"/>
      <c r="DN38" s="26"/>
      <c r="DO38" s="26"/>
      <c r="DP38" s="26"/>
      <c r="DQ38" s="26"/>
      <c r="DR38" s="26"/>
      <c r="DS38" s="26"/>
      <c r="DT38" s="26"/>
      <c r="DU38" s="26"/>
      <c r="DV38" s="26"/>
      <c r="DW38" s="26"/>
      <c r="DX38" s="26"/>
      <c r="DY38" s="26"/>
      <c r="DZ38" s="26"/>
      <c r="EA38" s="26"/>
      <c r="EB38" s="26"/>
      <c r="EC38" s="26"/>
      <c r="ED38" s="26"/>
      <c r="EE38" s="26"/>
      <c r="EF38" s="26"/>
      <c r="EG38" s="26"/>
      <c r="EH38" s="26"/>
      <c r="EI38" s="26"/>
      <c r="EJ38" s="26"/>
      <c r="EK38" s="26"/>
      <c r="EL38" s="26"/>
      <c r="EM38" s="26"/>
      <c r="EN38" s="26"/>
      <c r="EO38" s="26"/>
      <c r="EP38" s="26"/>
      <c r="EQ38" s="26"/>
      <c r="ER38" s="26"/>
      <c r="ES38" s="26"/>
      <c r="ET38" s="26"/>
      <c r="EU38" s="26"/>
      <c r="EV38" s="26"/>
      <c r="EW38" s="26"/>
      <c r="EX38" s="26"/>
      <c r="EY38" s="26"/>
      <c r="EZ38" s="26"/>
      <c r="FA38" s="26"/>
      <c r="FB38" s="26"/>
      <c r="FC38" s="26"/>
      <c r="FD38" s="26"/>
      <c r="FE38" s="26"/>
      <c r="FF38" s="26"/>
      <c r="FG38" s="26"/>
      <c r="FH38" s="26"/>
      <c r="FI38" s="26"/>
      <c r="FJ38" s="26"/>
      <c r="FK38" s="26"/>
      <c r="FL38" s="26"/>
      <c r="FM38" s="26"/>
      <c r="FN38" s="26"/>
      <c r="FO38" s="26"/>
      <c r="FP38" s="26"/>
      <c r="FQ38" s="26"/>
      <c r="FR38" s="26"/>
      <c r="FS38" s="26"/>
      <c r="FT38" s="26"/>
      <c r="FU38" s="26"/>
      <c r="FV38" s="26"/>
      <c r="FW38" s="26"/>
      <c r="FX38" s="26"/>
      <c r="FY38" s="26"/>
      <c r="FZ38" s="26"/>
      <c r="GA38" s="26"/>
      <c r="GB38" s="26"/>
      <c r="GC38" s="26"/>
      <c r="GD38" s="26"/>
      <c r="GE38" s="26"/>
      <c r="GF38" s="26"/>
      <c r="GG38" s="26"/>
      <c r="GH38" s="26"/>
      <c r="GI38" s="123"/>
    </row>
    <row r="39" spans="1:191" s="21" customFormat="1" ht="30" hidden="1" customHeight="1" thickBot="1" x14ac:dyDescent="0.2">
      <c r="A39" s="121" t="s">
        <v>137</v>
      </c>
      <c r="B39" s="44" t="s">
        <v>138</v>
      </c>
      <c r="C39" s="44" t="s">
        <v>139</v>
      </c>
      <c r="D39" s="45" t="s">
        <v>31</v>
      </c>
      <c r="E39" s="46">
        <v>1</v>
      </c>
      <c r="F39" s="47">
        <v>45931</v>
      </c>
      <c r="G39" s="47">
        <v>46111</v>
      </c>
      <c r="H39" s="44" t="s">
        <v>140</v>
      </c>
      <c r="I39" s="3">
        <f>IF(OR(ISBLANK(task_start),ISBLANK(task_end)),"",task_end-task_start+1)</f>
        <v>181</v>
      </c>
      <c r="J39" s="26"/>
      <c r="K39" s="26"/>
      <c r="L39" s="60"/>
      <c r="M39" s="60"/>
      <c r="N39" s="60"/>
      <c r="O39" s="60"/>
      <c r="P39" s="60"/>
      <c r="Q39" s="60"/>
      <c r="R39" s="60"/>
      <c r="S39" s="60"/>
      <c r="T39" s="60"/>
      <c r="U39" s="60"/>
      <c r="V39" s="60"/>
      <c r="W39" s="60"/>
      <c r="X39" s="60"/>
      <c r="Y39" s="60"/>
      <c r="Z39" s="60"/>
      <c r="AA39" s="60"/>
      <c r="AB39" s="60"/>
      <c r="AC39" s="60"/>
      <c r="AD39" s="60"/>
      <c r="AE39" s="60"/>
      <c r="AF39" s="60"/>
      <c r="AG39" s="60"/>
      <c r="AH39" s="60"/>
      <c r="AI39" s="60"/>
      <c r="AJ39" s="60"/>
      <c r="AK39" s="60"/>
      <c r="AL39" s="60"/>
      <c r="AM39" s="60"/>
      <c r="AN39" s="60"/>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c r="BU39" s="60"/>
      <c r="BV39" s="60"/>
      <c r="BW39" s="60"/>
      <c r="BX39" s="60"/>
      <c r="BY39" s="60"/>
      <c r="BZ39" s="60"/>
      <c r="CA39" s="60"/>
      <c r="CB39" s="60"/>
      <c r="CC39" s="60"/>
      <c r="CD39" s="60"/>
      <c r="CE39" s="60"/>
      <c r="CF39" s="60"/>
      <c r="CG39" s="60"/>
      <c r="CH39" s="60"/>
      <c r="CI39" s="60"/>
      <c r="CJ39" s="60"/>
      <c r="CK39" s="60"/>
      <c r="CL39" s="60"/>
      <c r="CM39" s="60"/>
      <c r="CN39" s="60"/>
      <c r="CO39" s="60"/>
      <c r="CP39" s="60"/>
      <c r="CQ39" s="60"/>
      <c r="CR39" s="60"/>
      <c r="CS39" s="60"/>
      <c r="CT39" s="60"/>
      <c r="CU39" s="60"/>
      <c r="CV39" s="60"/>
      <c r="CW39" s="60"/>
      <c r="CX39" s="60"/>
      <c r="CY39" s="60"/>
      <c r="CZ39" s="60"/>
      <c r="DA39" s="60"/>
      <c r="DB39" s="60"/>
      <c r="DC39" s="60"/>
      <c r="DD39" s="60"/>
      <c r="DE39" s="60"/>
      <c r="DF39" s="60"/>
      <c r="DG39" s="60"/>
      <c r="DH39" s="60"/>
      <c r="DI39" s="61"/>
      <c r="DJ39" s="60"/>
      <c r="DK39" s="60"/>
      <c r="DL39" s="60"/>
      <c r="DM39" s="60"/>
      <c r="DN39" s="60"/>
      <c r="DO39" s="60"/>
      <c r="DP39" s="60"/>
      <c r="DQ39" s="60"/>
      <c r="DR39" s="60"/>
      <c r="DS39" s="60"/>
      <c r="DT39" s="60"/>
      <c r="DU39" s="60"/>
      <c r="DV39" s="60"/>
      <c r="DW39" s="60"/>
      <c r="DX39" s="60"/>
      <c r="DY39" s="60"/>
      <c r="DZ39" s="60"/>
      <c r="EA39" s="60"/>
      <c r="EB39" s="60"/>
      <c r="EC39" s="60"/>
      <c r="ED39" s="60"/>
      <c r="EE39" s="60"/>
      <c r="EF39" s="60"/>
      <c r="EG39" s="60"/>
      <c r="EH39" s="60"/>
      <c r="EI39" s="60"/>
      <c r="EJ39" s="60"/>
      <c r="EK39" s="60"/>
      <c r="EL39" s="60"/>
      <c r="EM39" s="60"/>
      <c r="EN39" s="60"/>
      <c r="EO39" s="60"/>
      <c r="EP39" s="60"/>
      <c r="EQ39" s="60"/>
      <c r="ER39" s="60"/>
      <c r="ES39" s="60"/>
      <c r="ET39" s="60"/>
      <c r="EU39" s="60"/>
      <c r="EV39" s="60"/>
      <c r="EW39" s="60"/>
      <c r="EX39" s="60"/>
      <c r="EY39" s="60"/>
      <c r="EZ39" s="60"/>
      <c r="FA39" s="60"/>
      <c r="FB39" s="60"/>
      <c r="FC39" s="60"/>
      <c r="FD39" s="60"/>
      <c r="FE39" s="60"/>
      <c r="FF39" s="60"/>
      <c r="FG39" s="26"/>
      <c r="FH39" s="26"/>
      <c r="FI39" s="26"/>
      <c r="FJ39" s="26"/>
      <c r="FK39" s="26"/>
      <c r="FL39" s="26"/>
      <c r="FM39" s="26"/>
      <c r="FN39" s="26"/>
      <c r="FO39" s="26"/>
      <c r="FP39" s="26"/>
      <c r="FQ39" s="26"/>
      <c r="FR39" s="26"/>
      <c r="FS39" s="26"/>
      <c r="FT39" s="26"/>
      <c r="FU39" s="26"/>
      <c r="FV39" s="26"/>
      <c r="FW39" s="26"/>
      <c r="FX39" s="26"/>
      <c r="FY39" s="26"/>
      <c r="FZ39" s="26"/>
      <c r="GA39" s="26"/>
      <c r="GB39" s="26"/>
      <c r="GC39" s="26"/>
      <c r="GD39" s="26"/>
      <c r="GE39" s="26"/>
      <c r="GF39" s="26"/>
      <c r="GG39" s="26"/>
      <c r="GH39" s="26"/>
      <c r="GI39" s="123"/>
    </row>
    <row r="40" spans="1:191" s="21" customFormat="1" ht="30" customHeight="1" thickBot="1" x14ac:dyDescent="0.2">
      <c r="A40" s="121" t="s">
        <v>141</v>
      </c>
      <c r="B40" s="44" t="s">
        <v>142</v>
      </c>
      <c r="C40" s="44" t="s">
        <v>139</v>
      </c>
      <c r="D40" s="45" t="s">
        <v>31</v>
      </c>
      <c r="E40" s="46">
        <v>1</v>
      </c>
      <c r="F40" s="47">
        <v>45931</v>
      </c>
      <c r="G40" s="47">
        <v>46111</v>
      </c>
      <c r="H40" s="44" t="s">
        <v>143</v>
      </c>
      <c r="I40" s="3">
        <f>IF(OR(ISBLANK(task_start),ISBLANK(task_end)),"",task_end-task_start+1)</f>
        <v>181</v>
      </c>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68"/>
      <c r="BO40" s="68"/>
      <c r="BP40" s="68"/>
      <c r="BQ40" s="68"/>
      <c r="BR40" s="68"/>
      <c r="BS40" s="68"/>
      <c r="BT40" s="68"/>
      <c r="BU40" s="68"/>
      <c r="BV40" s="68"/>
      <c r="BW40" s="68"/>
      <c r="BX40" s="68"/>
      <c r="BY40" s="68"/>
      <c r="BZ40" s="68"/>
      <c r="CA40" s="68"/>
      <c r="CB40" s="68"/>
      <c r="CC40" s="68"/>
      <c r="CD40" s="68"/>
      <c r="CE40" s="68"/>
      <c r="CF40" s="68"/>
      <c r="CG40" s="68"/>
      <c r="CH40" s="68"/>
      <c r="CI40" s="68"/>
      <c r="CJ40" s="68"/>
      <c r="CK40" s="68"/>
      <c r="CL40" s="68"/>
      <c r="CM40" s="68"/>
      <c r="CN40" s="68"/>
      <c r="CO40" s="68"/>
      <c r="CP40" s="68"/>
      <c r="CQ40" s="68"/>
      <c r="CR40" s="68"/>
      <c r="CS40" s="68"/>
      <c r="CT40" s="68"/>
      <c r="CU40" s="68"/>
      <c r="CV40" s="68"/>
      <c r="CW40" s="68"/>
      <c r="CX40" s="68"/>
      <c r="CY40" s="68"/>
      <c r="CZ40" s="68"/>
      <c r="DA40" s="68"/>
      <c r="DB40" s="68"/>
      <c r="DC40" s="68"/>
      <c r="DD40" s="68"/>
      <c r="DE40" s="68"/>
      <c r="DF40" s="68"/>
      <c r="DG40" s="68"/>
      <c r="DH40" s="68"/>
      <c r="DI40" s="68"/>
      <c r="DJ40" s="68"/>
      <c r="DK40" s="68"/>
      <c r="DL40" s="68"/>
      <c r="DM40" s="68"/>
      <c r="DN40" s="68"/>
      <c r="DO40" s="68"/>
      <c r="DP40" s="68"/>
      <c r="DQ40" s="68"/>
      <c r="DR40" s="68"/>
      <c r="DS40" s="68"/>
      <c r="DT40" s="68"/>
      <c r="DU40" s="68"/>
      <c r="DV40" s="68"/>
      <c r="DW40" s="68"/>
      <c r="DX40" s="68"/>
      <c r="DY40" s="68"/>
      <c r="DZ40" s="68"/>
      <c r="EA40" s="68"/>
      <c r="EB40" s="68"/>
      <c r="EC40" s="68"/>
      <c r="ED40" s="68"/>
      <c r="EE40" s="68"/>
      <c r="EF40" s="68"/>
      <c r="EG40" s="68"/>
      <c r="EH40" s="68"/>
      <c r="EI40" s="68"/>
      <c r="EJ40" s="68"/>
      <c r="EK40" s="68"/>
      <c r="EL40" s="68"/>
      <c r="EM40" s="68"/>
      <c r="EN40" s="68"/>
      <c r="EO40" s="68"/>
      <c r="EP40" s="68"/>
      <c r="EQ40" s="68"/>
      <c r="ER40" s="68"/>
      <c r="ES40" s="68"/>
      <c r="ET40" s="68"/>
      <c r="EU40" s="68"/>
      <c r="EV40" s="68"/>
      <c r="EW40" s="68"/>
      <c r="EX40" s="68"/>
      <c r="EY40" s="68"/>
      <c r="EZ40" s="68"/>
      <c r="FA40" s="68"/>
      <c r="FB40" s="68"/>
      <c r="FC40" s="68"/>
      <c r="FD40" s="68"/>
      <c r="FE40" s="68"/>
      <c r="FF40" s="68"/>
      <c r="FG40" s="68"/>
      <c r="FH40" s="68"/>
      <c r="FI40" s="68"/>
      <c r="FJ40" s="68"/>
      <c r="FK40" s="68"/>
      <c r="FL40" s="68"/>
      <c r="FM40" s="68"/>
      <c r="FN40" s="68"/>
      <c r="FO40" s="68"/>
      <c r="FP40" s="68"/>
      <c r="FQ40" s="68"/>
      <c r="FR40" s="68"/>
      <c r="FS40" s="68"/>
      <c r="FT40" s="68"/>
      <c r="FU40" s="68"/>
      <c r="FV40" s="68"/>
      <c r="FW40" s="68"/>
      <c r="FX40" s="68"/>
      <c r="FY40" s="68"/>
      <c r="FZ40" s="68"/>
      <c r="GA40" s="68"/>
      <c r="GB40" s="68"/>
      <c r="GC40" s="68"/>
      <c r="GD40" s="68"/>
      <c r="GE40" s="68"/>
      <c r="GF40" s="68"/>
      <c r="GG40" s="68"/>
      <c r="GH40" s="68"/>
      <c r="GI40" s="122"/>
    </row>
    <row r="41" spans="1:191" s="21" customFormat="1" ht="30" customHeight="1" thickBot="1" x14ac:dyDescent="0.2">
      <c r="A41" s="121" t="s">
        <v>144</v>
      </c>
      <c r="B41" s="44" t="s">
        <v>145</v>
      </c>
      <c r="C41" s="44" t="s">
        <v>134</v>
      </c>
      <c r="D41" s="45" t="s">
        <v>31</v>
      </c>
      <c r="E41" s="46">
        <v>1</v>
      </c>
      <c r="F41" s="47">
        <v>45931</v>
      </c>
      <c r="G41" s="47">
        <v>46111</v>
      </c>
      <c r="H41" s="44" t="s">
        <v>146</v>
      </c>
      <c r="I41" s="44" t="s">
        <v>147</v>
      </c>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c r="BM41" s="26"/>
      <c r="BN41" s="26"/>
      <c r="BO41" s="26"/>
      <c r="BP41" s="26"/>
      <c r="BQ41" s="26"/>
      <c r="BR41" s="26"/>
      <c r="BS41" s="26"/>
      <c r="BT41" s="26"/>
      <c r="BU41" s="26"/>
      <c r="BV41" s="26"/>
      <c r="BW41" s="26"/>
      <c r="BX41" s="26"/>
      <c r="BY41" s="26"/>
      <c r="BZ41" s="26"/>
      <c r="CA41" s="26"/>
      <c r="CB41" s="26"/>
      <c r="CC41" s="26"/>
      <c r="CD41" s="26"/>
      <c r="CE41" s="26"/>
      <c r="CF41" s="26"/>
      <c r="CG41" s="26"/>
      <c r="CH41" s="26"/>
      <c r="CI41" s="26"/>
      <c r="CJ41" s="26"/>
      <c r="CK41" s="26"/>
      <c r="CL41" s="26"/>
      <c r="CM41" s="26"/>
      <c r="CN41" s="26"/>
      <c r="CO41" s="26"/>
      <c r="CP41" s="26"/>
      <c r="CQ41" s="26"/>
      <c r="CR41" s="26"/>
      <c r="CS41" s="26"/>
      <c r="CT41" s="26"/>
      <c r="CU41" s="26"/>
      <c r="CV41" s="26"/>
      <c r="CW41" s="26"/>
      <c r="CX41" s="26"/>
      <c r="CY41" s="26"/>
      <c r="CZ41" s="26"/>
      <c r="DA41" s="26"/>
      <c r="DB41" s="26"/>
      <c r="DC41" s="26"/>
      <c r="DD41" s="26"/>
      <c r="DE41" s="26"/>
      <c r="DF41" s="26"/>
      <c r="DG41" s="26"/>
      <c r="DH41" s="26"/>
      <c r="DI41" s="26"/>
      <c r="DJ41" s="26"/>
      <c r="DK41" s="26"/>
      <c r="DL41" s="26"/>
      <c r="DM41" s="26"/>
      <c r="DN41" s="26"/>
      <c r="DO41" s="26"/>
      <c r="DP41" s="26"/>
      <c r="DQ41" s="26"/>
      <c r="DR41" s="26"/>
      <c r="DS41" s="26"/>
      <c r="DT41" s="26"/>
      <c r="DU41" s="26"/>
      <c r="DV41" s="26"/>
      <c r="DW41" s="26"/>
      <c r="DX41" s="26"/>
      <c r="DY41" s="26"/>
      <c r="DZ41" s="26"/>
      <c r="EA41" s="26"/>
      <c r="EB41" s="26"/>
      <c r="EC41" s="26"/>
      <c r="ED41" s="26"/>
      <c r="EE41" s="26"/>
      <c r="EF41" s="26"/>
      <c r="EG41" s="26"/>
      <c r="EH41" s="26"/>
      <c r="EI41" s="26"/>
      <c r="EJ41" s="26"/>
      <c r="EK41" s="26"/>
      <c r="EL41" s="26"/>
      <c r="EM41" s="26"/>
      <c r="EN41" s="26"/>
      <c r="EO41" s="26"/>
      <c r="EP41" s="26"/>
      <c r="EQ41" s="26"/>
      <c r="ER41" s="26"/>
      <c r="ES41" s="26"/>
      <c r="ET41" s="26"/>
      <c r="EU41" s="26"/>
      <c r="EV41" s="26"/>
      <c r="EW41" s="26"/>
      <c r="EX41" s="26"/>
      <c r="EY41" s="26"/>
      <c r="EZ41" s="26"/>
      <c r="FA41" s="26"/>
      <c r="FB41" s="26"/>
      <c r="FC41" s="26"/>
      <c r="FD41" s="26"/>
      <c r="FE41" s="26"/>
      <c r="FF41" s="26"/>
      <c r="FG41" s="26"/>
      <c r="FH41" s="26"/>
      <c r="FI41" s="26"/>
      <c r="FJ41" s="26"/>
      <c r="FK41" s="26"/>
      <c r="FL41" s="26"/>
      <c r="FM41" s="26"/>
      <c r="FN41" s="26"/>
      <c r="FO41" s="26"/>
      <c r="FP41" s="26"/>
      <c r="FQ41" s="26"/>
      <c r="FR41" s="26"/>
      <c r="FS41" s="26"/>
      <c r="FT41" s="26"/>
      <c r="FU41" s="26"/>
      <c r="FV41" s="26"/>
      <c r="FW41" s="26"/>
      <c r="FX41" s="26"/>
      <c r="FY41" s="26"/>
      <c r="FZ41" s="26"/>
      <c r="GA41" s="26"/>
      <c r="GB41" s="26"/>
      <c r="GC41" s="26"/>
      <c r="GD41" s="26"/>
      <c r="GE41" s="26"/>
      <c r="GF41" s="26"/>
      <c r="GG41" s="26"/>
      <c r="GH41" s="26"/>
      <c r="GI41" s="123"/>
    </row>
    <row r="42" spans="1:191" s="21" customFormat="1" ht="30" customHeight="1" thickBot="1" x14ac:dyDescent="0.2">
      <c r="A42" s="121" t="s">
        <v>148</v>
      </c>
      <c r="B42" s="44" t="s">
        <v>149</v>
      </c>
      <c r="C42" s="44" t="s">
        <v>134</v>
      </c>
      <c r="D42" s="45" t="s">
        <v>31</v>
      </c>
      <c r="E42" s="46">
        <v>1</v>
      </c>
      <c r="F42" s="47">
        <v>46100</v>
      </c>
      <c r="G42" s="47">
        <v>46111</v>
      </c>
      <c r="H42" s="44" t="s">
        <v>147</v>
      </c>
      <c r="I42" s="3">
        <f t="shared" ref="I42:I43" si="14">IF(OR(ISBLANK(task_start),ISBLANK(task_end)),"",task_end-task_start+1)</f>
        <v>12</v>
      </c>
      <c r="J42" s="26"/>
      <c r="K42" s="26"/>
      <c r="L42" s="26"/>
      <c r="M42" s="26"/>
      <c r="N42" s="26"/>
      <c r="O42" s="26"/>
      <c r="P42" s="26"/>
      <c r="Q42" s="26"/>
      <c r="R42" s="26"/>
      <c r="S42" s="26"/>
      <c r="T42" s="26"/>
      <c r="U42" s="26"/>
      <c r="V42" s="26"/>
      <c r="W42" s="26"/>
      <c r="X42" s="26"/>
      <c r="Y42" s="26"/>
      <c r="Z42" s="26"/>
      <c r="AA42" s="26"/>
      <c r="AB42" s="26"/>
      <c r="AC42" s="26"/>
      <c r="AD42" s="26"/>
      <c r="AE42" s="26"/>
      <c r="AF42" s="26"/>
      <c r="AG42" s="26"/>
      <c r="AH42" s="26"/>
      <c r="AI42" s="26"/>
      <c r="AJ42" s="26"/>
      <c r="AK42" s="26"/>
      <c r="AL42" s="26"/>
      <c r="AM42" s="26"/>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c r="BO42" s="26"/>
      <c r="BP42" s="26"/>
      <c r="BQ42" s="26"/>
      <c r="BR42" s="26"/>
      <c r="BS42" s="26"/>
      <c r="BT42" s="26"/>
      <c r="BU42" s="26"/>
      <c r="BV42" s="26"/>
      <c r="BW42" s="26"/>
      <c r="BX42" s="26"/>
      <c r="BY42" s="26"/>
      <c r="BZ42" s="26"/>
      <c r="CA42" s="26"/>
      <c r="CB42" s="26"/>
      <c r="CC42" s="26"/>
      <c r="CD42" s="26"/>
      <c r="CE42" s="26"/>
      <c r="CF42" s="26"/>
      <c r="CG42" s="26"/>
      <c r="CH42" s="26"/>
      <c r="CI42" s="26"/>
      <c r="CJ42" s="26"/>
      <c r="CK42" s="26"/>
      <c r="CL42" s="26"/>
      <c r="CM42" s="26"/>
      <c r="CN42" s="26"/>
      <c r="CO42" s="26"/>
      <c r="CP42" s="26"/>
      <c r="CQ42" s="26"/>
      <c r="CR42" s="26"/>
      <c r="CS42" s="26"/>
      <c r="CT42" s="26"/>
      <c r="CU42" s="26"/>
      <c r="CV42" s="26"/>
      <c r="CW42" s="26"/>
      <c r="CX42" s="26"/>
      <c r="CY42" s="26"/>
      <c r="CZ42" s="26"/>
      <c r="DA42" s="26"/>
      <c r="DB42" s="26"/>
      <c r="DC42" s="26"/>
      <c r="DD42" s="26"/>
      <c r="DE42" s="26"/>
      <c r="DF42" s="26"/>
      <c r="DG42" s="26"/>
      <c r="DH42" s="26"/>
      <c r="DI42" s="26"/>
      <c r="DJ42" s="26"/>
      <c r="DK42" s="26"/>
      <c r="DL42" s="26"/>
      <c r="DM42" s="26"/>
      <c r="DN42" s="26"/>
      <c r="DO42" s="26"/>
      <c r="DP42" s="26"/>
      <c r="DQ42" s="26"/>
      <c r="DR42" s="26"/>
      <c r="DS42" s="26"/>
      <c r="DT42" s="26"/>
      <c r="DU42" s="26"/>
      <c r="DV42" s="26"/>
      <c r="DW42" s="26"/>
      <c r="DX42" s="26"/>
      <c r="DY42" s="26"/>
      <c r="DZ42" s="26"/>
      <c r="EA42" s="26"/>
      <c r="EB42" s="26"/>
      <c r="EC42" s="26"/>
      <c r="ED42" s="26"/>
      <c r="EE42" s="26"/>
      <c r="EF42" s="26"/>
      <c r="EG42" s="26"/>
      <c r="EH42" s="26"/>
      <c r="EI42" s="26"/>
      <c r="EJ42" s="26"/>
      <c r="EK42" s="26"/>
      <c r="EL42" s="26"/>
      <c r="EM42" s="26"/>
      <c r="EN42" s="26"/>
      <c r="EO42" s="26"/>
      <c r="EP42" s="26"/>
      <c r="EQ42" s="26"/>
      <c r="ER42" s="26"/>
      <c r="ES42" s="26"/>
      <c r="ET42" s="26"/>
      <c r="EU42" s="26"/>
      <c r="EV42" s="26"/>
      <c r="EW42" s="26"/>
      <c r="EX42" s="26"/>
      <c r="EY42" s="26"/>
      <c r="EZ42" s="26"/>
      <c r="FA42" s="26"/>
      <c r="FB42" s="26"/>
      <c r="FC42" s="26"/>
      <c r="FD42" s="26"/>
      <c r="FE42" s="26"/>
      <c r="FF42" s="26"/>
      <c r="FG42" s="26"/>
      <c r="FH42" s="26"/>
      <c r="FI42" s="26"/>
      <c r="FJ42" s="26"/>
      <c r="FK42" s="26"/>
      <c r="FL42" s="26"/>
      <c r="FM42" s="26"/>
      <c r="FN42" s="26"/>
      <c r="FO42" s="26"/>
      <c r="FP42" s="26"/>
      <c r="FQ42" s="26"/>
      <c r="FR42" s="26"/>
      <c r="FS42" s="26"/>
      <c r="FT42" s="26"/>
      <c r="FU42" s="26"/>
      <c r="FV42" s="26"/>
      <c r="FW42" s="26"/>
      <c r="FX42" s="26"/>
      <c r="FY42" s="26"/>
      <c r="FZ42" s="26"/>
      <c r="GA42" s="26"/>
      <c r="GB42" s="26"/>
      <c r="GC42" s="26"/>
      <c r="GD42" s="26"/>
      <c r="GE42" s="26"/>
      <c r="GF42" s="26"/>
      <c r="GG42" s="26"/>
      <c r="GH42" s="26"/>
      <c r="GI42" s="123"/>
    </row>
    <row r="43" spans="1:191" s="21" customFormat="1" ht="30" customHeight="1" x14ac:dyDescent="0.15">
      <c r="A43" s="124" t="s">
        <v>150</v>
      </c>
      <c r="B43" s="125" t="s">
        <v>151</v>
      </c>
      <c r="C43" s="125" t="s">
        <v>134</v>
      </c>
      <c r="D43" s="126" t="s">
        <v>31</v>
      </c>
      <c r="E43" s="127">
        <v>1</v>
      </c>
      <c r="F43" s="128">
        <v>46100</v>
      </c>
      <c r="G43" s="128">
        <v>46111</v>
      </c>
      <c r="H43" s="125" t="s">
        <v>152</v>
      </c>
      <c r="I43" s="129">
        <f t="shared" si="14"/>
        <v>12</v>
      </c>
      <c r="J43" s="130"/>
      <c r="K43" s="130"/>
      <c r="L43" s="130"/>
      <c r="M43" s="130"/>
      <c r="N43" s="130"/>
      <c r="O43" s="130"/>
      <c r="P43" s="130"/>
      <c r="Q43" s="130"/>
      <c r="R43" s="130"/>
      <c r="S43" s="130"/>
      <c r="T43" s="130"/>
      <c r="U43" s="130"/>
      <c r="V43" s="130"/>
      <c r="W43" s="130"/>
      <c r="X43" s="130"/>
      <c r="Y43" s="130"/>
      <c r="Z43" s="130"/>
      <c r="AA43" s="130"/>
      <c r="AB43" s="130"/>
      <c r="AC43" s="130"/>
      <c r="AD43" s="130"/>
      <c r="AE43" s="130"/>
      <c r="AF43" s="130"/>
      <c r="AG43" s="130"/>
      <c r="AH43" s="130"/>
      <c r="AI43" s="130"/>
      <c r="AJ43" s="130"/>
      <c r="AK43" s="130"/>
      <c r="AL43" s="130"/>
      <c r="AM43" s="130"/>
      <c r="AN43" s="130"/>
      <c r="AO43" s="130"/>
      <c r="AP43" s="130"/>
      <c r="AQ43" s="130"/>
      <c r="AR43" s="130"/>
      <c r="AS43" s="130"/>
      <c r="AT43" s="130"/>
      <c r="AU43" s="130"/>
      <c r="AV43" s="130"/>
      <c r="AW43" s="130"/>
      <c r="AX43" s="130"/>
      <c r="AY43" s="130"/>
      <c r="AZ43" s="130"/>
      <c r="BA43" s="130"/>
      <c r="BB43" s="130"/>
      <c r="BC43" s="130"/>
      <c r="BD43" s="130"/>
      <c r="BE43" s="130"/>
      <c r="BF43" s="130"/>
      <c r="BG43" s="130"/>
      <c r="BH43" s="130"/>
      <c r="BI43" s="130"/>
      <c r="BJ43" s="130"/>
      <c r="BK43" s="130"/>
      <c r="BL43" s="130"/>
      <c r="BM43" s="130"/>
      <c r="BN43" s="130"/>
      <c r="BO43" s="130"/>
      <c r="BP43" s="130"/>
      <c r="BQ43" s="130"/>
      <c r="BR43" s="130"/>
      <c r="BS43" s="130"/>
      <c r="BT43" s="130"/>
      <c r="BU43" s="130"/>
      <c r="BV43" s="130"/>
      <c r="BW43" s="130"/>
      <c r="BX43" s="130"/>
      <c r="BY43" s="130"/>
      <c r="BZ43" s="130"/>
      <c r="CA43" s="130"/>
      <c r="CB43" s="130"/>
      <c r="CC43" s="130"/>
      <c r="CD43" s="130"/>
      <c r="CE43" s="130"/>
      <c r="CF43" s="130"/>
      <c r="CG43" s="130"/>
      <c r="CH43" s="130"/>
      <c r="CI43" s="130"/>
      <c r="CJ43" s="130"/>
      <c r="CK43" s="130"/>
      <c r="CL43" s="130"/>
      <c r="CM43" s="130"/>
      <c r="CN43" s="130"/>
      <c r="CO43" s="130"/>
      <c r="CP43" s="130"/>
      <c r="CQ43" s="130"/>
      <c r="CR43" s="130"/>
      <c r="CS43" s="130"/>
      <c r="CT43" s="130"/>
      <c r="CU43" s="130"/>
      <c r="CV43" s="130"/>
      <c r="CW43" s="130"/>
      <c r="CX43" s="130"/>
      <c r="CY43" s="130"/>
      <c r="CZ43" s="130"/>
      <c r="DA43" s="130"/>
      <c r="DB43" s="130"/>
      <c r="DC43" s="130"/>
      <c r="DD43" s="130"/>
      <c r="DE43" s="130"/>
      <c r="DF43" s="130"/>
      <c r="DG43" s="130"/>
      <c r="DH43" s="130"/>
      <c r="DI43" s="130"/>
      <c r="DJ43" s="130"/>
      <c r="DK43" s="130"/>
      <c r="DL43" s="130"/>
      <c r="DM43" s="130"/>
      <c r="DN43" s="130"/>
      <c r="DO43" s="130"/>
      <c r="DP43" s="130"/>
      <c r="DQ43" s="130"/>
      <c r="DR43" s="130"/>
      <c r="DS43" s="130"/>
      <c r="DT43" s="130"/>
      <c r="DU43" s="130"/>
      <c r="DV43" s="130"/>
      <c r="DW43" s="130"/>
      <c r="DX43" s="130"/>
      <c r="DY43" s="130"/>
      <c r="DZ43" s="130"/>
      <c r="EA43" s="130"/>
      <c r="EB43" s="130"/>
      <c r="EC43" s="130"/>
      <c r="ED43" s="130"/>
      <c r="EE43" s="130"/>
      <c r="EF43" s="130"/>
      <c r="EG43" s="130"/>
      <c r="EH43" s="130"/>
      <c r="EI43" s="130"/>
      <c r="EJ43" s="130"/>
      <c r="EK43" s="130"/>
      <c r="EL43" s="130"/>
      <c r="EM43" s="130"/>
      <c r="EN43" s="130"/>
      <c r="EO43" s="130"/>
      <c r="EP43" s="130"/>
      <c r="EQ43" s="130"/>
      <c r="ER43" s="130"/>
      <c r="ES43" s="130"/>
      <c r="ET43" s="130"/>
      <c r="EU43" s="130"/>
      <c r="EV43" s="130"/>
      <c r="EW43" s="130"/>
      <c r="EX43" s="130"/>
      <c r="EY43" s="130"/>
      <c r="EZ43" s="130"/>
      <c r="FA43" s="130"/>
      <c r="FB43" s="130"/>
      <c r="FC43" s="130"/>
      <c r="FD43" s="130"/>
      <c r="FE43" s="130"/>
      <c r="FF43" s="130"/>
      <c r="FG43" s="130"/>
      <c r="FH43" s="130"/>
      <c r="FI43" s="130"/>
      <c r="FJ43" s="130"/>
      <c r="FK43" s="130"/>
      <c r="FL43" s="130"/>
      <c r="FM43" s="130"/>
      <c r="FN43" s="130"/>
      <c r="FO43" s="130"/>
      <c r="FP43" s="130"/>
      <c r="FQ43" s="130"/>
      <c r="FR43" s="130"/>
      <c r="FS43" s="130"/>
      <c r="FT43" s="130"/>
      <c r="FU43" s="130"/>
      <c r="FV43" s="130"/>
      <c r="FW43" s="130"/>
      <c r="FX43" s="130"/>
      <c r="FY43" s="130"/>
      <c r="FZ43" s="130"/>
      <c r="GA43" s="130"/>
      <c r="GB43" s="130"/>
      <c r="GC43" s="130"/>
      <c r="GD43" s="130"/>
      <c r="GE43" s="130"/>
      <c r="GF43" s="130"/>
      <c r="GG43" s="130"/>
      <c r="GH43" s="130"/>
      <c r="GI43" s="131"/>
    </row>
    <row r="44" spans="1:191" s="21" customFormat="1" ht="30" customHeight="1" x14ac:dyDescent="0.15"/>
    <row r="45" spans="1:191" s="21" customFormat="1" ht="30" customHeight="1" x14ac:dyDescent="0.15"/>
    <row r="46" spans="1:191" s="21" customFormat="1" ht="30" customHeight="1" x14ac:dyDescent="0.15"/>
    <row r="47" spans="1:191" s="21" customFormat="1" ht="30" customHeight="1" x14ac:dyDescent="0.15"/>
    <row r="48" spans="1:191" ht="30" customHeight="1" x14ac:dyDescent="0.15">
      <c r="A48"/>
      <c r="F48"/>
    </row>
  </sheetData>
  <mergeCells count="25">
    <mergeCell ref="FV4:GI4"/>
    <mergeCell ref="AL4:AY4"/>
    <mergeCell ref="CB4:CO4"/>
    <mergeCell ref="EF4:ES4"/>
    <mergeCell ref="C5:C6"/>
    <mergeCell ref="A5:A6"/>
    <mergeCell ref="G5:G6"/>
    <mergeCell ref="J1:P1"/>
    <mergeCell ref="AZ4:BM4"/>
    <mergeCell ref="J4:W4"/>
    <mergeCell ref="B5:B6"/>
    <mergeCell ref="D5:D6"/>
    <mergeCell ref="X4:AK4"/>
    <mergeCell ref="H5:H6"/>
    <mergeCell ref="J2:P2"/>
    <mergeCell ref="FH4:FU4"/>
    <mergeCell ref="R2:AA2"/>
    <mergeCell ref="R1:AA1"/>
    <mergeCell ref="DR4:EE4"/>
    <mergeCell ref="BN4:CA4"/>
    <mergeCell ref="ET4:FG4"/>
    <mergeCell ref="E5:E6"/>
    <mergeCell ref="CP4:DC4"/>
    <mergeCell ref="DD4:DQ4"/>
    <mergeCell ref="F5:F6"/>
  </mergeCells>
  <conditionalFormatting sqref="E7:E43">
    <cfRule type="dataBar" priority="23">
      <dataBar>
        <cfvo type="num" val="0"/>
        <cfvo type="num" val="1"/>
        <color theme="0"/>
      </dataBar>
    </cfRule>
  </conditionalFormatting>
  <conditionalFormatting sqref="J21:J22 J15:GI20 K21:GI21">
    <cfRule type="expression" dxfId="11" priority="4">
      <formula>AND(task_start&lt;=J$5,ROUNDDOWN((task_end-task_start+1)*task_progress,0)+task_start-1&gt;=J$5)</formula>
    </cfRule>
  </conditionalFormatting>
  <conditionalFormatting sqref="J4:P4 X4:AD4 AL4:AR4 AZ4:BF4 BN4:BT4 CB4:CH4 CP4:CV4 DD4:DJ4 DR4:DX4 EF4:EL4 ET4:EZ4 FH4:FN4 FV4:GB4 BN5:GI6 J5:BM8 J9:BK9 J10:GI21 BN22:GI39 J22:BM43 BN41:GI43">
    <cfRule type="expression" dxfId="10" priority="1">
      <formula>AND(TODAY()&gt;=J$5, TODAY()&lt;K$5)</formula>
    </cfRule>
  </conditionalFormatting>
  <conditionalFormatting sqref="J9:BK9 J10:GI13 J14 L14:GI14 K14:K15">
    <cfRule type="expression" dxfId="9" priority="7" stopIfTrue="1">
      <formula>AND(task_end&gt;=J$5,task_start&lt;K$5)</formula>
    </cfRule>
  </conditionalFormatting>
  <conditionalFormatting sqref="J15:GI20 K21:GI21 J21:J22">
    <cfRule type="expression" dxfId="8" priority="5" stopIfTrue="1">
      <formula>AND(task_end&gt;=J$5,task_start&lt;K$5)</formula>
    </cfRule>
  </conditionalFormatting>
  <conditionalFormatting sqref="J22:GI39">
    <cfRule type="expression" dxfId="7" priority="2">
      <formula>AND(task_start&lt;=J$5,ROUNDDOWN((task_end-task_start+1)*task_progress,0)+task_start-1&gt;=J$5)</formula>
    </cfRule>
    <cfRule type="expression" dxfId="6" priority="3" stopIfTrue="1">
      <formula>AND(task_end&gt;=J$5,task_start&lt;K$5)</formula>
    </cfRule>
  </conditionalFormatting>
  <conditionalFormatting sqref="J41:GI43">
    <cfRule type="expression" dxfId="5" priority="36">
      <formula>AND(task_start&lt;=J$5,ROUNDDOWN((task_end-task_start+1)*task_progress,0)+task_start-1&gt;=J$5)</formula>
    </cfRule>
    <cfRule type="expression" dxfId="4" priority="37" stopIfTrue="1">
      <formula>AND(task_end&gt;=J$5,task_start&lt;K$5)</formula>
    </cfRule>
  </conditionalFormatting>
  <conditionalFormatting sqref="K14:K15 J9:BK9 J10:GI13 J14 L14:GI14">
    <cfRule type="expression" dxfId="3" priority="6">
      <formula>AND(task_start&lt;=J$5,ROUNDDOWN((task_end-task_start+1)*task_progress,0)+task_start-1&gt;=J$5)</formula>
    </cfRule>
  </conditionalFormatting>
  <conditionalFormatting sqref="BM9:GI9">
    <cfRule type="expression" dxfId="2" priority="39">
      <formula>AND(TODAY()&gt;=BL$5, TODAY()&lt;BM$5)</formula>
    </cfRule>
    <cfRule type="expression" dxfId="1" priority="42">
      <formula>AND(task_start&lt;=BL$5,ROUNDDOWN((task_end-task_start+1)*task_progress,0)+task_start-1&gt;=BL$5)</formula>
    </cfRule>
    <cfRule type="expression" dxfId="0" priority="43" stopIfTrue="1">
      <formula>AND(task_end&gt;=BL$5,task_start&lt;BM$5)</formula>
    </cfRule>
  </conditionalFormatting>
  <dataValidations count="6">
    <dataValidation type="whole" operator="greaterThanOrEqual" allowBlank="1" showInputMessage="1" promptTitle="Display Week" prompt="Changing this number will scroll the Gantt Chart view." sqref="R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00000000-0002-0000-0000-000001000000}"/>
    <dataValidation allowBlank="1" showInputMessage="1" showErrorMessage="1" prompt="Enter Company name in cel B2." sqref="A2" xr:uid="{00000000-0002-0000-0000-000002000000}"/>
    <dataValidation allowBlank="1" showInputMessage="1" showErrorMessage="1" prompt="Enter the name of the Project Lead in cell C3. Enter the Project Start date in cell Q1. Project Start: label is in cell I1." sqref="A3" xr:uid="{00000000-0002-0000-0000-00000300000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00000000-0002-0000-0000-000004000000}"/>
    <dataValidation allowBlank="1" showInputMessage="1" showErrorMessage="1" prompt="Cell B8 contains the Phase 1 sample title. Enter a new title in cell B8._x000a_To delete the phase and work only from tasks, simply delete this row." sqref="A8:A43" xr:uid="{00000000-0002-0000-0000-000005000000}"/>
  </dataValidations>
  <printOptions horizontalCentered="1"/>
  <pageMargins left="0.35" right="0.35" top="0.35" bottom="0.5" header="0.3" footer="0.3"/>
  <pageSetup scale="57" fitToHeight="0" orientation="landscape"/>
  <headerFooter differentFirst="1" scaleWithDoc="0">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4" customWidth="1"/>
    <col min="2" max="3" width="9" style="1" customWidth="1"/>
    <col min="4" max="16384" width="9" style="1"/>
  </cols>
  <sheetData>
    <row r="1" spans="1:2" ht="46.5" customHeight="1" x14ac:dyDescent="0.15"/>
    <row r="2" spans="1:2" s="6" customFormat="1" ht="16" customHeight="1" x14ac:dyDescent="0.15">
      <c r="A2" s="48" t="s">
        <v>153</v>
      </c>
      <c r="B2" s="5"/>
    </row>
    <row r="3" spans="1:2" s="8" customFormat="1" ht="27" customHeight="1" x14ac:dyDescent="0.15">
      <c r="A3" s="49"/>
      <c r="B3" s="9"/>
    </row>
    <row r="4" spans="1:2" s="7" customFormat="1" ht="31" customHeight="1" x14ac:dyDescent="0.45">
      <c r="A4" s="50" t="s">
        <v>154</v>
      </c>
    </row>
    <row r="5" spans="1:2" ht="74.25" customHeight="1" x14ac:dyDescent="0.15">
      <c r="A5" s="51" t="s">
        <v>155</v>
      </c>
    </row>
    <row r="6" spans="1:2" ht="26.25" customHeight="1" x14ac:dyDescent="0.15">
      <c r="A6" s="50" t="s">
        <v>156</v>
      </c>
    </row>
    <row r="7" spans="1:2" s="4" customFormat="1" ht="205.25" customHeight="1" x14ac:dyDescent="0.15">
      <c r="A7" s="52" t="s">
        <v>157</v>
      </c>
    </row>
    <row r="8" spans="1:2" s="7" customFormat="1" ht="31" customHeight="1" x14ac:dyDescent="0.45">
      <c r="A8" s="50" t="s">
        <v>158</v>
      </c>
    </row>
    <row r="9" spans="1:2" ht="60" customHeight="1" x14ac:dyDescent="0.15">
      <c r="A9" s="51" t="s">
        <v>159</v>
      </c>
    </row>
    <row r="10" spans="1:2" s="4" customFormat="1" ht="28.25" customHeight="1" x14ac:dyDescent="0.15">
      <c r="A10" s="53" t="s">
        <v>160</v>
      </c>
    </row>
    <row r="11" spans="1:2" s="7" customFormat="1" ht="31" customHeight="1" x14ac:dyDescent="0.45">
      <c r="A11" s="50" t="s">
        <v>161</v>
      </c>
    </row>
    <row r="12" spans="1:2" ht="30" customHeight="1" x14ac:dyDescent="0.15">
      <c r="A12" s="51" t="s">
        <v>162</v>
      </c>
    </row>
    <row r="13" spans="1:2" s="4" customFormat="1" ht="28.25" customHeight="1" x14ac:dyDescent="0.15">
      <c r="A13" s="53" t="s">
        <v>163</v>
      </c>
    </row>
    <row r="14" spans="1:2" s="7" customFormat="1" ht="31" customHeight="1" x14ac:dyDescent="0.45">
      <c r="A14" s="50" t="s">
        <v>164</v>
      </c>
    </row>
    <row r="15" spans="1:2" ht="75" customHeight="1" x14ac:dyDescent="0.15">
      <c r="A15" s="51" t="s">
        <v>165</v>
      </c>
    </row>
    <row r="16" spans="1:2" ht="75" customHeight="1" x14ac:dyDescent="0.15">
      <c r="A16" s="51" t="s">
        <v>166</v>
      </c>
    </row>
    <row r="17" spans="1:1" x14ac:dyDescent="0.15">
      <c r="A17" s="54"/>
    </row>
    <row r="18" spans="1:1" x14ac:dyDescent="0.15">
      <c r="A18" s="54"/>
    </row>
    <row r="19" spans="1:1" x14ac:dyDescent="0.15">
      <c r="A19" s="54"/>
    </row>
    <row r="20" spans="1:1" x14ac:dyDescent="0.15">
      <c r="A20" s="54"/>
    </row>
    <row r="21" spans="1:1" x14ac:dyDescent="0.15">
      <c r="A21" s="54"/>
    </row>
    <row r="22" spans="1:1" x14ac:dyDescent="0.15">
      <c r="A22" s="54"/>
    </row>
    <row r="23" spans="1:1" x14ac:dyDescent="0.15">
      <c r="A23" s="54"/>
    </row>
    <row r="24" spans="1:1" x14ac:dyDescent="0.15">
      <c r="A24" s="54"/>
    </row>
  </sheetData>
  <hyperlinks>
    <hyperlink ref="A2" r:id="rId1" xr:uid="{00000000-0004-0000-0100-000000000000}"/>
    <hyperlink ref="A10" r:id="rId2" xr:uid="{00000000-0004-0000-0100-000001000000}"/>
    <hyperlink ref="A13" r:id="rId3" xr:uid="{00000000-0004-0000-0100-000002000000}"/>
  </hyperlinks>
  <pageMargins left="0.5" right="0.5" top="0.5" bottom="0.5" header="0.3" footer="0.3"/>
  <pageSetup orientation="portrait"/>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Hammouda (Student)</cp:lastModifiedBy>
  <dcterms:created xsi:type="dcterms:W3CDTF">2026-03-09T14:16:30Z</dcterms:created>
  <dcterms:modified xsi:type="dcterms:W3CDTF">2026-03-30T17:40:37Z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